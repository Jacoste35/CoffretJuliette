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Prix de vente" sheetId="2" state="visible" r:id="rId2"/>
    <sheet name="Suivi" sheetId="3" state="visible" r:id="rId3"/>
  </sheets>
  <definedNames>
    <definedName name="_xlnm._FilterDatabase" localSheetId="1" hidden="1">'Prix de vente'!$A$1:$T$703</definedName>
    <definedName name="_xlnm.Print_Titles" localSheetId="1">'Prix de vente'!$1:$1</definedName>
  </definedNames>
  <calcPr calcId="124519" fullCalcOnLoad="1"/>
</workbook>
</file>

<file path=xl/styles.xml><?xml version="1.0" encoding="utf-8"?>
<styleSheet xmlns="http://schemas.openxmlformats.org/spreadsheetml/2006/main">
  <numFmts count="3">
    <numFmt numFmtId="164" formatCode="#,##0.00 &quot;€&quot;"/>
    <numFmt numFmtId="165" formatCode="0.0 %"/>
    <numFmt numFmtId="166" formatCode="0.00&quot;×&quot;"/>
  </numFmts>
  <fonts count="12">
    <font>
      <name val="Calibri"/>
      <family val="2"/>
      <color theme="1"/>
      <sz val="11"/>
      <scheme val="minor"/>
    </font>
    <font>
      <name val="Calibri"/>
      <b val="1"/>
      <color rgb="FF16211E"/>
      <sz val="20"/>
    </font>
    <font>
      <name val="Calibri"/>
      <color rgb="FF16211E"/>
      <sz val="11"/>
    </font>
    <font>
      <name val="Calibri"/>
      <b val="1"/>
      <color rgb="FF1F5C46"/>
      <sz val="12"/>
    </font>
    <font>
      <name val="Calibri"/>
      <b val="1"/>
      <color rgb="FF9C2A1E"/>
      <sz val="11"/>
    </font>
    <font>
      <name val="Calibri"/>
      <b val="1"/>
      <color rgb="FFFFFFFF"/>
      <sz val="9"/>
    </font>
    <font>
      <name val="Calibri"/>
      <color rgb="FF16211E"/>
      <sz val="10"/>
    </font>
    <font>
      <name val="Calibri"/>
      <b val="1"/>
      <sz val="10"/>
    </font>
    <font>
      <name val="Calibri"/>
      <b val="1"/>
      <color rgb="FF9C2A1E"/>
      <sz val="9"/>
    </font>
    <font>
      <name val="Calibri"/>
      <color rgb="FF7E6412"/>
      <sz val="9"/>
    </font>
    <font>
      <name val="Calibri"/>
      <b val="1"/>
      <color rgb="FF16211E"/>
      <sz val="14"/>
    </font>
    <font>
      <name val="Calibri"/>
      <i val="1"/>
      <color rgb="FF71827B"/>
      <sz val="10"/>
    </font>
  </fonts>
  <fills count="6">
    <fill>
      <patternFill/>
    </fill>
    <fill>
      <patternFill patternType="gray125"/>
    </fill>
    <fill>
      <patternFill patternType="solid">
        <fgColor rgb="FF1F5C46"/>
      </patternFill>
    </fill>
    <fill>
      <patternFill patternType="solid">
        <fgColor rgb="FFFFF4D6"/>
      </patternFill>
    </fill>
    <fill>
      <patternFill patternType="solid">
        <fgColor rgb="FFEFF4F1"/>
      </patternFill>
    </fill>
    <fill>
      <patternFill patternType="solid">
        <fgColor rgb="FFF7F9F8"/>
      </patternFill>
    </fill>
  </fills>
  <borders count="2">
    <border>
      <left/>
      <right/>
      <top/>
      <bottom/>
      <diagonal/>
    </border>
    <border>
      <left style="thin">
        <color rgb="FFD8E0DB"/>
      </left>
      <right style="thin">
        <color rgb="FFD8E0DB"/>
      </right>
      <top style="thin">
        <color rgb="FFD8E0DB"/>
      </top>
      <bottom style="thin">
        <color rgb="FFD8E0DB"/>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xf>
    <xf numFmtId="164" fontId="6" fillId="0" borderId="1" pivotButton="0" quotePrefix="0" xfId="0"/>
    <xf numFmtId="164" fontId="6" fillId="3" borderId="1" pivotButton="0" quotePrefix="0" xfId="0"/>
    <xf numFmtId="0" fontId="9" fillId="3" borderId="1" applyAlignment="1" pivotButton="0" quotePrefix="0" xfId="0">
      <alignment horizontal="center"/>
    </xf>
    <xf numFmtId="164" fontId="6" fillId="4" borderId="1" pivotButton="0" quotePrefix="0" xfId="0"/>
    <xf numFmtId="165" fontId="7" fillId="4" borderId="1" pivotButton="0" quotePrefix="0" xfId="0"/>
    <xf numFmtId="166" fontId="6" fillId="4" borderId="1" pivotButton="0" quotePrefix="0" xfId="0"/>
    <xf numFmtId="0" fontId="6" fillId="3" borderId="1" applyAlignment="1" pivotButton="0" quotePrefix="0" xfId="0">
      <alignment horizontal="center"/>
    </xf>
    <xf numFmtId="0" fontId="6" fillId="3" borderId="1" pivotButton="0" quotePrefix="0" xfId="0"/>
    <xf numFmtId="0" fontId="6" fillId="5" borderId="1" pivotButton="0" quotePrefix="0" xfId="0"/>
    <xf numFmtId="0" fontId="6" fillId="5" borderId="1" applyAlignment="1" pivotButton="0" quotePrefix="0" xfId="0">
      <alignment horizontal="center"/>
    </xf>
    <xf numFmtId="164" fontId="6" fillId="5" borderId="1" pivotButton="0" quotePrefix="0" xfId="0"/>
    <xf numFmtId="0" fontId="8" fillId="0" borderId="1" applyAlignment="1" pivotButton="0" quotePrefix="0" xfId="0">
      <alignment horizontal="center"/>
    </xf>
    <xf numFmtId="0" fontId="8" fillId="5" borderId="1" applyAlignment="1" pivotButton="0" quotePrefix="0" xfId="0">
      <alignment horizontal="center"/>
    </xf>
    <xf numFmtId="0" fontId="10" fillId="0" borderId="0" pivotButton="0" quotePrefix="0" xfId="0"/>
    <xf numFmtId="0" fontId="2" fillId="0" borderId="0" pivotButton="0" quotePrefix="0" xfId="0"/>
    <xf numFmtId="3" fontId="3" fillId="0" borderId="0" applyAlignment="1" pivotButton="0" quotePrefix="0" xfId="0">
      <alignment horizontal="right"/>
    </xf>
    <xf numFmtId="165" fontId="3" fillId="0" borderId="0" applyAlignment="1" pivotButton="0" quotePrefix="0" xfId="0">
      <alignment horizontal="right"/>
    </xf>
    <xf numFmtId="166" fontId="3" fillId="0" borderId="0" applyAlignment="1" pivotButton="0" quotePrefix="0" xfId="0">
      <alignment horizontal="right"/>
    </xf>
    <xf numFmtId="0" fontId="11" fillId="0" borderId="0" applyAlignment="1" pivotButton="0" quotePrefix="0" xfId="0">
      <alignment wrapText="1"/>
    </xf>
  </cellXfs>
  <cellStyles count="1">
    <cellStyle name="Normal" xfId="0" builtinId="0" hidden="0"/>
  </cellStyles>
  <dxfs count="3">
    <dxf>
      <font>
        <b val="1"/>
        <color rgb="FF9C2A1E"/>
      </font>
      <fill>
        <patternFill patternType="solid">
          <bgColor rgb="FFF7E6E3"/>
        </patternFill>
      </fill>
    </dxf>
    <dxf>
      <font>
        <b val="1"/>
        <color rgb="FF7E6412"/>
      </font>
      <fill>
        <patternFill patternType="solid">
          <bgColor rgb="FFF6EEDA"/>
        </patternFill>
      </fill>
    </dxf>
    <dxf>
      <font>
        <b val="1"/>
        <color rgb="FF2C6B4E"/>
      </font>
      <fill>
        <patternFill patternType="solid">
          <bgColor rgb="FFE2EF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2"/>
  <sheetViews>
    <sheetView showGridLines="0" workbookViewId="0">
      <selection activeCell="A1" sqref="A1"/>
    </sheetView>
  </sheetViews>
  <sheetFormatPr baseColWidth="8" defaultRowHeight="15"/>
  <cols>
    <col width="3" customWidth="1" min="1" max="1"/>
    <col width="108" customWidth="1" min="2" max="2"/>
  </cols>
  <sheetData>
    <row r="1" ht="30" customHeight="1">
      <c r="B1" s="1" t="inlineStr">
        <is>
          <t>Saisie des prix de vente</t>
        </is>
      </c>
    </row>
    <row r="2" ht="16" customHeight="1">
      <c r="B2" s="2" t="inlineStr">
        <is>
          <t>Comptoir des Chatonniers — 702 produits issus de la base fournisseurs 2026</t>
        </is>
      </c>
    </row>
    <row r="3">
      <c r="B3" s="2" t="inlineStr"/>
    </row>
    <row r="4" ht="22" customHeight="1">
      <c r="B4" s="3" t="inlineStr">
        <is>
          <t>Nouveau : les prix sont préremplis</t>
        </is>
      </c>
    </row>
    <row r="5" ht="60" customHeight="1">
      <c r="B5" s="2" t="inlineStr">
        <is>
          <t>Les 701 prix de vente proposés par coefficients de marché sont déjà dans la colonne PRIX DE VENTE HT, avec le statut PROPOSÉ. Votre travail n'est plus de saisir 700 prix : c'est de les relire, corriger ceux qui tombent à côté, et passer le statut à VALIDÉ. Un prix non validé reste une hypothèse de travail.</t>
        </is>
      </c>
    </row>
    <row r="6">
      <c r="B6" s="2" t="inlineStr"/>
    </row>
    <row r="7" ht="22" customHeight="1">
      <c r="B7" s="3" t="inlineStr">
        <is>
          <t>Ce qu'il faut remplir</t>
        </is>
      </c>
    </row>
    <row r="8" ht="16" customHeight="1">
      <c r="B8" s="2" t="inlineStr">
        <is>
          <t>Trois colonnes seulement, surlignées en jaune dans l'onglet « Prix de vente » :</t>
        </is>
      </c>
    </row>
    <row r="9" ht="16" customHeight="1">
      <c r="B9" s="2" t="inlineStr">
        <is>
          <t xml:space="preserve">     • PRIX DE VENTE HT — le prix auquel vous vendez le produit dans un coffret.</t>
        </is>
      </c>
    </row>
    <row r="10" ht="16" customHeight="1">
      <c r="B10" s="2" t="inlineStr">
        <is>
          <t xml:space="preserve">     • CATALOGUE SAISON — OUI si vous retenez le produit pour la saison en cours.</t>
        </is>
      </c>
    </row>
    <row r="11" ht="16" customHeight="1">
      <c r="B11" s="2" t="inlineStr">
        <is>
          <t xml:space="preserve">     • NOTES — vos remarques (produit à revoir, fournisseur à rappeler…).</t>
        </is>
      </c>
    </row>
    <row r="12" ht="16" customHeight="1">
      <c r="B12" s="2" t="inlineStr">
        <is>
          <t>Tout le reste est calculé automatiquement : marge, taux de marge, coefficient, prix TTC.</t>
        </is>
      </c>
    </row>
    <row r="13">
      <c r="B13" s="2" t="inlineStr"/>
    </row>
    <row r="14" ht="22" customHeight="1">
      <c r="B14" s="3" t="inlineStr">
        <is>
          <t>Ne saisissez pas les 702 prix</t>
        </is>
      </c>
    </row>
    <row r="15" ht="45" customHeight="1">
      <c r="B15" s="2" t="inlineStr">
        <is>
          <t>Commencez par le catalogue de saison : 120 à 200 références que vous savez pouvoir obtenir. Mettez OUI dans la colonne CATALOGUE SAISON, puis ne saisissez le prix que pour celles-là. Le moteur de composition n'a besoin que de produits fiables, pas de tous les produits.</t>
        </is>
      </c>
    </row>
    <row r="16">
      <c r="B16" s="2" t="inlineStr"/>
    </row>
    <row r="17" ht="45" customHeight="1">
      <c r="B17" s="2" t="inlineStr">
        <is>
          <t>Le classeur est trié par catégorie, puis par niveau de gamme, puis du prix d'achat le plus élevé au plus faible. Vous traitez ainsi une famille entière d'un seul coup, en commençant par les produits qui pèsent le plus dans un coffret.</t>
        </is>
      </c>
    </row>
    <row r="18">
      <c r="B18" s="2" t="inlineStr"/>
    </row>
    <row r="19" ht="22" customHeight="1">
      <c r="B19" s="3" t="inlineStr">
        <is>
          <t>Les repères de couleur</t>
        </is>
      </c>
    </row>
    <row r="20" ht="16" customHeight="1">
      <c r="B20" s="2" t="inlineStr">
        <is>
          <t xml:space="preserve">     • Taux de marge en rouge : sous 30 %. Le produit fera baisser la marge du coffret.</t>
        </is>
      </c>
    </row>
    <row r="21" ht="16" customHeight="1">
      <c r="B21" s="2" t="inlineStr">
        <is>
          <t xml:space="preserve">     • Taux de marge en orange : entre 30 et 40 %.</t>
        </is>
      </c>
    </row>
    <row r="22" ht="16" customHeight="1">
      <c r="B22" s="2" t="inlineStr">
        <is>
          <t xml:space="preserve">     • Taux de marge en vert : au-dessus de 40 %.</t>
        </is>
      </c>
    </row>
    <row r="23" ht="16" customHeight="1">
      <c r="B23" s="2" t="inlineStr">
        <is>
          <t>Ces seuils sont indicatifs — dites-moi vos vrais objectifs de marge et je les ajusterai.</t>
        </is>
      </c>
    </row>
    <row r="24">
      <c r="B24" s="2" t="inlineStr"/>
    </row>
    <row r="25" ht="22" customHeight="1">
      <c r="B25" s="3" t="inlineStr">
        <is>
          <t>Ce que vous voyez pour décider</t>
        </is>
      </c>
    </row>
    <row r="26" ht="30" customHeight="1">
      <c r="B26" s="2" t="inlineStr">
        <is>
          <t>Prix d'achat HT, taux de TVA, catégorie, niveau de gamme, producteur, conditionnement, poids ou volume, et la présence d'alcool. L'onglet « Suivi » compte en direct ce qui est fait.</t>
        </is>
      </c>
    </row>
    <row r="27">
      <c r="B27" s="2" t="inlineStr"/>
    </row>
    <row r="28" ht="32" customHeight="1">
      <c r="B28" s="4" t="inlineStr">
        <is>
          <t>Attention aux 42 produits dont la TVA est « À CONFIRMER »</t>
        </is>
      </c>
    </row>
    <row r="29" ht="30" customHeight="1">
      <c r="B29" s="2" t="inlineStr">
        <is>
          <t>Ils apparaissent avec la mention À CONFIRMER dans la colonne TVA. Tant que le taux n'est pas tranché, ces produits ne peuvent pas entrer dans un devis : la facture serait fausse. Traitez-les à part.</t>
        </is>
      </c>
    </row>
    <row r="30">
      <c r="B30" s="2" t="inlineStr"/>
    </row>
    <row r="31" ht="22" customHeight="1">
      <c r="B31" s="3" t="inlineStr">
        <is>
          <t>Quand vous avez terminé</t>
        </is>
      </c>
    </row>
    <row r="32" ht="30" customHeight="1">
      <c r="B32" s="2" t="inlineStr">
        <is>
          <t>Enregistrez le fichier sans changer son nom ni l'ordre des colonnes, et renvoyez-le. Il se réimporte tel quel dans la base de données.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6" customWidth="1" min="2" max="2"/>
    <col width="22" customWidth="1" min="3" max="3"/>
    <col width="22" customWidth="1" min="4" max="4"/>
    <col width="12" customWidth="1" min="5" max="5"/>
    <col width="26" customWidth="1" min="6" max="6"/>
    <col width="22" customWidth="1" min="7" max="7"/>
    <col width="20" customWidth="1" min="8" max="8"/>
    <col width="13" customWidth="1" min="9" max="9"/>
    <col width="11" customWidth="1" min="10" max="10"/>
    <col width="11" customWidth="1" min="11" max="11"/>
    <col width="14" customWidth="1" min="12" max="12"/>
    <col width="17" customWidth="1" min="13" max="13"/>
    <col width="14" customWidth="1" min="14" max="14"/>
    <col width="11" customWidth="1" min="15" max="15"/>
    <col width="14" customWidth="1" min="16" max="16"/>
    <col width="10" customWidth="1" min="17" max="17"/>
    <col width="14" customWidth="1" min="18" max="18"/>
    <col width="17" customWidth="1" min="19" max="19"/>
    <col width="40" customWidth="1" min="20" max="20"/>
  </cols>
  <sheetData>
    <row r="1" ht="34" customHeight="1">
      <c r="A1" s="5" t="inlineStr">
        <is>
          <t>ID</t>
        </is>
      </c>
      <c r="B1" s="5" t="inlineStr">
        <is>
          <t>PRODUIT</t>
        </is>
      </c>
      <c r="C1" s="5" t="inlineStr">
        <is>
          <t>CATÉGORIE</t>
        </is>
      </c>
      <c r="D1" s="5" t="inlineStr">
        <is>
          <t>SOUS-CATÉGORIE</t>
        </is>
      </c>
      <c r="E1" s="5" t="inlineStr">
        <is>
          <t>GAMME</t>
        </is>
      </c>
      <c r="F1" s="5" t="inlineStr">
        <is>
          <t>PRODUCTEUR</t>
        </is>
      </c>
      <c r="G1" s="5" t="inlineStr">
        <is>
          <t>FOURNISSEUR</t>
        </is>
      </c>
      <c r="H1" s="5" t="inlineStr">
        <is>
          <t>CONDITIONNEMENT</t>
        </is>
      </c>
      <c r="I1" s="5" t="inlineStr">
        <is>
          <t>POIDS/VOL.</t>
        </is>
      </c>
      <c r="J1" s="5" t="inlineStr">
        <is>
          <t>ALCOOL</t>
        </is>
      </c>
      <c r="K1" s="5" t="inlineStr">
        <is>
          <t>TVA</t>
        </is>
      </c>
      <c r="L1" s="5" t="inlineStr">
        <is>
          <t>PRIX ACHAT HT</t>
        </is>
      </c>
      <c r="M1" s="5" t="inlineStr">
        <is>
          <t>PRIX DE VENTE HT</t>
        </is>
      </c>
      <c r="N1" s="5" t="inlineStr">
        <is>
          <t>STATUT PRIX</t>
        </is>
      </c>
      <c r="O1" s="5" t="inlineStr">
        <is>
          <t>MARGE €</t>
        </is>
      </c>
      <c r="P1" s="5" t="inlineStr">
        <is>
          <t>TAUX DE MARGE</t>
        </is>
      </c>
      <c r="Q1" s="5" t="inlineStr">
        <is>
          <t>COEFF.</t>
        </is>
      </c>
      <c r="R1" s="5" t="inlineStr">
        <is>
          <t>PRIX VENTE TTC</t>
        </is>
      </c>
      <c r="S1" s="5" t="inlineStr">
        <is>
          <t>CATALOGUE SAISON</t>
        </is>
      </c>
      <c r="T1" s="5" t="inlineStr">
        <is>
          <t>NOTES</t>
        </is>
      </c>
    </row>
    <row r="2">
      <c r="A2" s="6" t="inlineStr">
        <is>
          <t>PROD-0396</t>
        </is>
      </c>
      <c r="B2" s="6" t="inlineStr">
        <is>
          <t>Pinte 50 cl Brasserie Lalie</t>
        </is>
      </c>
      <c r="C2" s="6" t="inlineStr">
        <is>
          <t>ART_DE_LA_TABLE_ET_OBJET</t>
        </is>
      </c>
      <c r="D2" s="6" t="inlineStr">
        <is>
          <t>OBJET_ET_CONTENANT</t>
        </is>
      </c>
      <c r="E2" s="6" t="inlineStr">
        <is>
          <t>ESSENTIEL</t>
        </is>
      </c>
      <c r="F2" s="6" t="inlineStr">
        <is>
          <t>BRASSERIE LA LIE</t>
        </is>
      </c>
      <c r="G2" s="6" t="inlineStr">
        <is>
          <t>NORMAND DIRECT TERROIR</t>
        </is>
      </c>
      <c r="H2" s="6" t="inlineStr"/>
      <c r="I2" s="6" t="inlineStr">
        <is>
          <t>500 ml</t>
        </is>
      </c>
      <c r="J2" s="6" t="inlineStr">
        <is>
          <t>NON</t>
        </is>
      </c>
      <c r="K2" s="7" t="inlineStr">
        <is>
          <t>20 %</t>
        </is>
      </c>
      <c r="L2" s="8" t="n">
        <v>2.38</v>
      </c>
      <c r="M2" s="9" t="n">
        <v>6</v>
      </c>
      <c r="N2" s="10" t="inlineStr">
        <is>
          <t>PROPOSÉ</t>
        </is>
      </c>
      <c r="O2" s="11">
        <f>IF(M2="","",M2-L2)</f>
        <v/>
      </c>
      <c r="P2" s="12">
        <f>IF(OR(M2="",M2=0),"",(M2-L2)/M2)</f>
        <v/>
      </c>
      <c r="Q2" s="13">
        <f>IF(OR(M2="",L2=0,L2=""),"",M2/L2)</f>
        <v/>
      </c>
      <c r="R2" s="11">
        <f>IF(M2="","",M2*1.2)</f>
        <v/>
      </c>
      <c r="S2" s="14" t="n"/>
      <c r="T2" s="15" t="n"/>
    </row>
    <row r="3">
      <c r="A3" s="16" t="inlineStr">
        <is>
          <t>PROD-0397</t>
        </is>
      </c>
      <c r="B3" s="16" t="inlineStr">
        <is>
          <t>Verre à bière Brasserie Lalie 25 cl</t>
        </is>
      </c>
      <c r="C3" s="16" t="inlineStr">
        <is>
          <t>ART_DE_LA_TABLE_ET_OBJET</t>
        </is>
      </c>
      <c r="D3" s="16" t="inlineStr">
        <is>
          <t>OBJET_ET_CONTENANT</t>
        </is>
      </c>
      <c r="E3" s="16" t="inlineStr">
        <is>
          <t>ESSENTIEL</t>
        </is>
      </c>
      <c r="F3" s="16" t="inlineStr">
        <is>
          <t>BRASSERIE LA LIE</t>
        </is>
      </c>
      <c r="G3" s="16" t="inlineStr">
        <is>
          <t>NORMAND DIRECT TERROIR</t>
        </is>
      </c>
      <c r="H3" s="16" t="inlineStr"/>
      <c r="I3" s="16" t="inlineStr">
        <is>
          <t>250 ml</t>
        </is>
      </c>
      <c r="J3" s="16" t="inlineStr">
        <is>
          <t>NON</t>
        </is>
      </c>
      <c r="K3" s="17" t="inlineStr">
        <is>
          <t>20 %</t>
        </is>
      </c>
      <c r="L3" s="18" t="n">
        <v>2.1</v>
      </c>
      <c r="M3" s="9" t="n">
        <v>5.3</v>
      </c>
      <c r="N3" s="10" t="inlineStr">
        <is>
          <t>PROPOSÉ</t>
        </is>
      </c>
      <c r="O3" s="11">
        <f>IF(M3="","",M3-L3)</f>
        <v/>
      </c>
      <c r="P3" s="12">
        <f>IF(OR(M3="",M3=0),"",(M3-L3)/M3)</f>
        <v/>
      </c>
      <c r="Q3" s="13">
        <f>IF(OR(M3="",L3=0,L3=""),"",M3/L3)</f>
        <v/>
      </c>
      <c r="R3" s="11">
        <f>IF(M3="","",M3*1.2)</f>
        <v/>
      </c>
      <c r="S3" s="14" t="n"/>
      <c r="T3" s="15" t="n"/>
    </row>
    <row r="4">
      <c r="A4" s="6" t="inlineStr">
        <is>
          <t>PROD-0657</t>
        </is>
      </c>
      <c r="B4" s="6" t="inlineStr">
        <is>
          <t>PRÉSENTOIR POUR 100 SUCETTES</t>
        </is>
      </c>
      <c r="C4" s="6" t="inlineStr">
        <is>
          <t>ART_DE_LA_TABLE_ET_OBJET</t>
        </is>
      </c>
      <c r="D4" s="6" t="inlineStr">
        <is>
          <t>OBJET_ET_CONTENANT</t>
        </is>
      </c>
      <c r="E4" s="6" t="inlineStr">
        <is>
          <t>SIGNATURE</t>
        </is>
      </c>
      <c r="F4" s="6" t="inlineStr">
        <is>
          <t>CARAMELS D'ISIGNY</t>
        </is>
      </c>
      <c r="G4" s="6" t="inlineStr">
        <is>
          <t>CARAMELS D'ISIGNY</t>
        </is>
      </c>
      <c r="H4" s="6" t="inlineStr">
        <is>
          <t>225G</t>
        </is>
      </c>
      <c r="I4" s="6" t="inlineStr">
        <is>
          <t>225 g</t>
        </is>
      </c>
      <c r="J4" s="6" t="inlineStr">
        <is>
          <t>NON</t>
        </is>
      </c>
      <c r="K4" s="7" t="inlineStr">
        <is>
          <t>20 %</t>
        </is>
      </c>
      <c r="L4" s="8" t="n">
        <v>8.380000000000001</v>
      </c>
      <c r="M4" s="9" t="n">
        <v>17.7</v>
      </c>
      <c r="N4" s="10" t="inlineStr">
        <is>
          <t>PROPOSÉ</t>
        </is>
      </c>
      <c r="O4" s="11">
        <f>IF(M4="","",M4-L4)</f>
        <v/>
      </c>
      <c r="P4" s="12">
        <f>IF(OR(M4="",M4=0),"",(M4-L4)/M4)</f>
        <v/>
      </c>
      <c r="Q4" s="13">
        <f>IF(OR(M4="",L4=0,L4=""),"",M4/L4)</f>
        <v/>
      </c>
      <c r="R4" s="11">
        <f>IF(M4="","",M4*1.2)</f>
        <v/>
      </c>
      <c r="S4" s="14" t="n"/>
      <c r="T4" s="15" t="n"/>
    </row>
    <row r="5">
      <c r="A5" s="16" t="inlineStr">
        <is>
          <t>PROD-0018</t>
        </is>
      </c>
      <c r="B5" s="16" t="inlineStr">
        <is>
          <t>Financiers boite 250 grs</t>
        </is>
      </c>
      <c r="C5" s="16" t="inlineStr">
        <is>
          <t>BISCUITERIE</t>
        </is>
      </c>
      <c r="D5" s="16" t="inlineStr">
        <is>
          <t>BISCUIT</t>
        </is>
      </c>
      <c r="E5" s="16" t="inlineStr">
        <is>
          <t>ESSENTIEL</t>
        </is>
      </c>
      <c r="F5" s="16" t="inlineStr">
        <is>
          <t>BISCUITERIE DE QUINEVILLE</t>
        </is>
      </c>
      <c r="G5" s="16" t="inlineStr">
        <is>
          <t>NORMAND DIRECT TERROIR</t>
        </is>
      </c>
      <c r="H5" s="16" t="inlineStr"/>
      <c r="I5" s="16" t="inlineStr">
        <is>
          <t>250 g</t>
        </is>
      </c>
      <c r="J5" s="16" t="inlineStr">
        <is>
          <t>NON</t>
        </is>
      </c>
      <c r="K5" s="17" t="inlineStr">
        <is>
          <t>5.5 %</t>
        </is>
      </c>
      <c r="L5" s="18" t="n">
        <v>4.9</v>
      </c>
      <c r="M5" s="9" t="n">
        <v>11.8</v>
      </c>
      <c r="N5" s="10" t="inlineStr">
        <is>
          <t>PROPOSÉ</t>
        </is>
      </c>
      <c r="O5" s="11">
        <f>IF(M5="","",M5-L5)</f>
        <v/>
      </c>
      <c r="P5" s="12">
        <f>IF(OR(M5="",M5=0),"",(M5-L5)/M5)</f>
        <v/>
      </c>
      <c r="Q5" s="13">
        <f>IF(OR(M5="",L5=0,L5=""),"",M5/L5)</f>
        <v/>
      </c>
      <c r="R5" s="11">
        <f>IF(M5="","",M5*1.055)</f>
        <v/>
      </c>
      <c r="S5" s="14" t="n"/>
      <c r="T5" s="15" t="n"/>
    </row>
    <row r="6">
      <c r="A6" s="6" t="inlineStr">
        <is>
          <t>PROD-0013</t>
        </is>
      </c>
      <c r="B6" s="6" t="inlineStr">
        <is>
          <t>Croquenoisette chocolat 180 grs</t>
        </is>
      </c>
      <c r="C6" s="6" t="inlineStr">
        <is>
          <t>BISCUITERIE</t>
        </is>
      </c>
      <c r="D6" s="6" t="inlineStr">
        <is>
          <t>BISCUIT</t>
        </is>
      </c>
      <c r="E6" s="6" t="inlineStr">
        <is>
          <t>ESSENTIEL</t>
        </is>
      </c>
      <c r="F6" s="6" t="inlineStr">
        <is>
          <t>BISCUITERIE DE QUINEVILLE</t>
        </is>
      </c>
      <c r="G6" s="6" t="inlineStr">
        <is>
          <t>NORMAND DIRECT TERROIR</t>
        </is>
      </c>
      <c r="H6" s="6" t="inlineStr"/>
      <c r="I6" s="6" t="inlineStr">
        <is>
          <t>180 g</t>
        </is>
      </c>
      <c r="J6" s="6" t="inlineStr">
        <is>
          <t>NON</t>
        </is>
      </c>
      <c r="K6" s="7" t="inlineStr">
        <is>
          <t>5.5 %</t>
        </is>
      </c>
      <c r="L6" s="8" t="n">
        <v>4.55</v>
      </c>
      <c r="M6" s="9" t="n">
        <v>10.9</v>
      </c>
      <c r="N6" s="10" t="inlineStr">
        <is>
          <t>PROPOSÉ</t>
        </is>
      </c>
      <c r="O6" s="11">
        <f>IF(M6="","",M6-L6)</f>
        <v/>
      </c>
      <c r="P6" s="12">
        <f>IF(OR(M6="",M6=0),"",(M6-L6)/M6)</f>
        <v/>
      </c>
      <c r="Q6" s="13">
        <f>IF(OR(M6="",L6=0,L6=""),"",M6/L6)</f>
        <v/>
      </c>
      <c r="R6" s="11">
        <f>IF(M6="","",M6*1.055)</f>
        <v/>
      </c>
      <c r="S6" s="14" t="n"/>
      <c r="T6" s="15" t="n"/>
    </row>
    <row r="7">
      <c r="A7" s="16" t="inlineStr">
        <is>
          <t>PROD-0020</t>
        </is>
      </c>
      <c r="B7" s="16" t="inlineStr">
        <is>
          <t>Sablé chocolat enrobage chocolat lait 180 grs</t>
        </is>
      </c>
      <c r="C7" s="16" t="inlineStr">
        <is>
          <t>BISCUITERIE</t>
        </is>
      </c>
      <c r="D7" s="16" t="inlineStr">
        <is>
          <t>BISCUIT</t>
        </is>
      </c>
      <c r="E7" s="16" t="inlineStr">
        <is>
          <t>ESSENTIEL</t>
        </is>
      </c>
      <c r="F7" s="16" t="inlineStr">
        <is>
          <t>BISCUITERIE DE QUINEVILLE</t>
        </is>
      </c>
      <c r="G7" s="16" t="inlineStr">
        <is>
          <t>NORMAND DIRECT TERROIR</t>
        </is>
      </c>
      <c r="H7" s="16" t="inlineStr"/>
      <c r="I7" s="16" t="inlineStr">
        <is>
          <t>180 g</t>
        </is>
      </c>
      <c r="J7" s="16" t="inlineStr">
        <is>
          <t>NON</t>
        </is>
      </c>
      <c r="K7" s="17" t="inlineStr">
        <is>
          <t>5.5 %</t>
        </is>
      </c>
      <c r="L7" s="18" t="n">
        <v>4.5</v>
      </c>
      <c r="M7" s="9" t="n">
        <v>10.8</v>
      </c>
      <c r="N7" s="10" t="inlineStr">
        <is>
          <t>PROPOSÉ</t>
        </is>
      </c>
      <c r="O7" s="11">
        <f>IF(M7="","",M7-L7)</f>
        <v/>
      </c>
      <c r="P7" s="12">
        <f>IF(OR(M7="",M7=0),"",(M7-L7)/M7)</f>
        <v/>
      </c>
      <c r="Q7" s="13">
        <f>IF(OR(M7="",L7=0,L7=""),"",M7/L7)</f>
        <v/>
      </c>
      <c r="R7" s="11">
        <f>IF(M7="","",M7*1.055)</f>
        <v/>
      </c>
      <c r="S7" s="14" t="n"/>
      <c r="T7" s="15" t="n"/>
    </row>
    <row r="8">
      <c r="A8" s="6" t="inlineStr">
        <is>
          <t>PROD-0008</t>
        </is>
      </c>
      <c r="B8" s="6" t="inlineStr">
        <is>
          <t>Coquilles Quinéville 165 grs</t>
        </is>
      </c>
      <c r="C8" s="6" t="inlineStr">
        <is>
          <t>BISCUITERIE</t>
        </is>
      </c>
      <c r="D8" s="6" t="inlineStr">
        <is>
          <t>BISCUIT</t>
        </is>
      </c>
      <c r="E8" s="6" t="inlineStr">
        <is>
          <t>ESSENTIEL</t>
        </is>
      </c>
      <c r="F8" s="6" t="inlineStr">
        <is>
          <t>BISCUITERIE DE QUINEVILLE</t>
        </is>
      </c>
      <c r="G8" s="6" t="inlineStr">
        <is>
          <t>NORMAND DIRECT TERROIR</t>
        </is>
      </c>
      <c r="H8" s="6" t="inlineStr"/>
      <c r="I8" s="6" t="inlineStr">
        <is>
          <t>165 g</t>
        </is>
      </c>
      <c r="J8" s="6" t="inlineStr">
        <is>
          <t>NON</t>
        </is>
      </c>
      <c r="K8" s="7" t="inlineStr">
        <is>
          <t>5.5 %</t>
        </is>
      </c>
      <c r="L8" s="8" t="n">
        <v>4.37</v>
      </c>
      <c r="M8" s="9" t="n">
        <v>10.5</v>
      </c>
      <c r="N8" s="10" t="inlineStr">
        <is>
          <t>PROPOSÉ</t>
        </is>
      </c>
      <c r="O8" s="11">
        <f>IF(M8="","",M8-L8)</f>
        <v/>
      </c>
      <c r="P8" s="12">
        <f>IF(OR(M8="",M8=0),"",(M8-L8)/M8)</f>
        <v/>
      </c>
      <c r="Q8" s="13">
        <f>IF(OR(M8="",L8=0,L8=""),"",M8/L8)</f>
        <v/>
      </c>
      <c r="R8" s="11">
        <f>IF(M8="","",M8*1.055)</f>
        <v/>
      </c>
      <c r="S8" s="14" t="n"/>
      <c r="T8" s="15" t="n"/>
    </row>
    <row r="9">
      <c r="A9" s="16" t="inlineStr">
        <is>
          <t>PROD-0010</t>
        </is>
      </c>
      <c r="B9" s="16" t="inlineStr">
        <is>
          <t>Coquilles de Quinéville trio 165 grs</t>
        </is>
      </c>
      <c r="C9" s="16" t="inlineStr">
        <is>
          <t>BISCUITERIE</t>
        </is>
      </c>
      <c r="D9" s="16" t="inlineStr">
        <is>
          <t>BISCUIT</t>
        </is>
      </c>
      <c r="E9" s="16" t="inlineStr">
        <is>
          <t>ESSENTIEL</t>
        </is>
      </c>
      <c r="F9" s="16" t="inlineStr">
        <is>
          <t>BISCUITERIE DE QUINEVILLE</t>
        </is>
      </c>
      <c r="G9" s="16" t="inlineStr">
        <is>
          <t>NORMAND DIRECT TERROIR</t>
        </is>
      </c>
      <c r="H9" s="16" t="inlineStr"/>
      <c r="I9" s="16" t="inlineStr">
        <is>
          <t>165 g</t>
        </is>
      </c>
      <c r="J9" s="16" t="inlineStr">
        <is>
          <t>NON</t>
        </is>
      </c>
      <c r="K9" s="17" t="inlineStr">
        <is>
          <t>5.5 %</t>
        </is>
      </c>
      <c r="L9" s="18" t="n">
        <v>4.37</v>
      </c>
      <c r="M9" s="9" t="n">
        <v>10.5</v>
      </c>
      <c r="N9" s="10" t="inlineStr">
        <is>
          <t>PROPOSÉ</t>
        </is>
      </c>
      <c r="O9" s="11">
        <f>IF(M9="","",M9-L9)</f>
        <v/>
      </c>
      <c r="P9" s="12">
        <f>IF(OR(M9="",M9=0),"",(M9-L9)/M9)</f>
        <v/>
      </c>
      <c r="Q9" s="13">
        <f>IF(OR(M9="",L9=0,L9=""),"",M9/L9)</f>
        <v/>
      </c>
      <c r="R9" s="11">
        <f>IF(M9="","",M9*1.055)</f>
        <v/>
      </c>
      <c r="S9" s="14" t="n"/>
      <c r="T9" s="15" t="n"/>
    </row>
    <row r="10">
      <c r="A10" s="6" t="inlineStr">
        <is>
          <t>PROD-0012</t>
        </is>
      </c>
      <c r="B10" s="6" t="inlineStr">
        <is>
          <t>Croquant aux amandes 125 grs</t>
        </is>
      </c>
      <c r="C10" s="6" t="inlineStr">
        <is>
          <t>BISCUITERIE</t>
        </is>
      </c>
      <c r="D10" s="6" t="inlineStr">
        <is>
          <t>BISCUIT</t>
        </is>
      </c>
      <c r="E10" s="6" t="inlineStr">
        <is>
          <t>ESSENTIEL</t>
        </is>
      </c>
      <c r="F10" s="6" t="inlineStr">
        <is>
          <t>BISCUITERIE DE QUINEVILLE</t>
        </is>
      </c>
      <c r="G10" s="6" t="inlineStr">
        <is>
          <t>NORMAND DIRECT TERROIR</t>
        </is>
      </c>
      <c r="H10" s="6" t="inlineStr"/>
      <c r="I10" s="6" t="inlineStr">
        <is>
          <t>125 g</t>
        </is>
      </c>
      <c r="J10" s="6" t="inlineStr">
        <is>
          <t>NON</t>
        </is>
      </c>
      <c r="K10" s="7" t="inlineStr">
        <is>
          <t>5.5 %</t>
        </is>
      </c>
      <c r="L10" s="8" t="n">
        <v>4.3</v>
      </c>
      <c r="M10" s="9" t="n">
        <v>10.3</v>
      </c>
      <c r="N10" s="10" t="inlineStr">
        <is>
          <t>PROPOSÉ</t>
        </is>
      </c>
      <c r="O10" s="11">
        <f>IF(M10="","",M10-L10)</f>
        <v/>
      </c>
      <c r="P10" s="12">
        <f>IF(OR(M10="",M10=0),"",(M10-L10)/M10)</f>
        <v/>
      </c>
      <c r="Q10" s="13">
        <f>IF(OR(M10="",L10=0,L10=""),"",M10/L10)</f>
        <v/>
      </c>
      <c r="R10" s="11">
        <f>IF(M10="","",M10*1.055)</f>
        <v/>
      </c>
      <c r="S10" s="14" t="n"/>
      <c r="T10" s="15" t="n"/>
    </row>
    <row r="11">
      <c r="A11" s="16" t="inlineStr">
        <is>
          <t>PROD-0658</t>
        </is>
      </c>
      <c r="B11" s="16" t="inlineStr">
        <is>
          <t>COOKIES AUX ÉCLATS DE CARAMEL</t>
        </is>
      </c>
      <c r="C11" s="16" t="inlineStr">
        <is>
          <t>BISCUITERIE</t>
        </is>
      </c>
      <c r="D11" s="16" t="inlineStr">
        <is>
          <t>BISCUIT</t>
        </is>
      </c>
      <c r="E11" s="16" t="inlineStr">
        <is>
          <t>ESSENTIEL</t>
        </is>
      </c>
      <c r="F11" s="16" t="inlineStr">
        <is>
          <t>CARAMELS D'ISIGNY</t>
        </is>
      </c>
      <c r="G11" s="16" t="inlineStr">
        <is>
          <t>CARAMELS D'ISIGNY</t>
        </is>
      </c>
      <c r="H11" s="16" t="inlineStr">
        <is>
          <t>220G</t>
        </is>
      </c>
      <c r="I11" s="16" t="inlineStr">
        <is>
          <t>220 g</t>
        </is>
      </c>
      <c r="J11" s="16" t="inlineStr">
        <is>
          <t>NON</t>
        </is>
      </c>
      <c r="K11" s="17" t="inlineStr">
        <is>
          <t>5.5 %</t>
        </is>
      </c>
      <c r="L11" s="18" t="n">
        <v>4.16</v>
      </c>
      <c r="M11" s="9" t="n">
        <v>10</v>
      </c>
      <c r="N11" s="10" t="inlineStr">
        <is>
          <t>PROPOSÉ</t>
        </is>
      </c>
      <c r="O11" s="11">
        <f>IF(M11="","",M11-L11)</f>
        <v/>
      </c>
      <c r="P11" s="12">
        <f>IF(OR(M11="",M11=0),"",(M11-L11)/M11)</f>
        <v/>
      </c>
      <c r="Q11" s="13">
        <f>IF(OR(M11="",L11=0,L11=""),"",M11/L11)</f>
        <v/>
      </c>
      <c r="R11" s="11">
        <f>IF(M11="","",M11*1.055)</f>
        <v/>
      </c>
      <c r="S11" s="14" t="n"/>
      <c r="T11" s="15" t="n"/>
    </row>
    <row r="12">
      <c r="A12" s="6" t="inlineStr">
        <is>
          <t>PROD-0023</t>
        </is>
      </c>
      <c r="B12" s="6" t="inlineStr">
        <is>
          <t>Sablé spéculos 250 grs</t>
        </is>
      </c>
      <c r="C12" s="6" t="inlineStr">
        <is>
          <t>BISCUITERIE</t>
        </is>
      </c>
      <c r="D12" s="6" t="inlineStr">
        <is>
          <t>BISCUIT</t>
        </is>
      </c>
      <c r="E12" s="6" t="inlineStr">
        <is>
          <t>ESSENTIEL</t>
        </is>
      </c>
      <c r="F12" s="6" t="inlineStr">
        <is>
          <t>BISCUITERIE DE QUINEVILLE</t>
        </is>
      </c>
      <c r="G12" s="6" t="inlineStr">
        <is>
          <t>NORMAND DIRECT TERROIR</t>
        </is>
      </c>
      <c r="H12" s="6" t="inlineStr"/>
      <c r="I12" s="6" t="inlineStr">
        <is>
          <t>250 g</t>
        </is>
      </c>
      <c r="J12" s="6" t="inlineStr">
        <is>
          <t>NON</t>
        </is>
      </c>
      <c r="K12" s="7" t="inlineStr">
        <is>
          <t>5.5 %</t>
        </is>
      </c>
      <c r="L12" s="8" t="n">
        <v>3.95</v>
      </c>
      <c r="M12" s="9" t="n">
        <v>9.5</v>
      </c>
      <c r="N12" s="10" t="inlineStr">
        <is>
          <t>PROPOSÉ</t>
        </is>
      </c>
      <c r="O12" s="11">
        <f>IF(M12="","",M12-L12)</f>
        <v/>
      </c>
      <c r="P12" s="12">
        <f>IF(OR(M12="",M12=0),"",(M12-L12)/M12)</f>
        <v/>
      </c>
      <c r="Q12" s="13">
        <f>IF(OR(M12="",L12=0,L12=""),"",M12/L12)</f>
        <v/>
      </c>
      <c r="R12" s="11">
        <f>IF(M12="","",M12*1.055)</f>
        <v/>
      </c>
      <c r="S12" s="14" t="n"/>
      <c r="T12" s="15" t="n"/>
    </row>
    <row r="13">
      <c r="A13" s="16" t="inlineStr">
        <is>
          <t>PROD-0454</t>
        </is>
      </c>
      <c r="B13" s="16" t="inlineStr">
        <is>
          <t>Pain D'épices aux pépites de Chocolats  250gr</t>
        </is>
      </c>
      <c r="C13" s="16" t="inlineStr">
        <is>
          <t>BISCUITERIE</t>
        </is>
      </c>
      <c r="D13" s="16" t="inlineStr">
        <is>
          <t>BISCUIT</t>
        </is>
      </c>
      <c r="E13" s="16" t="inlineStr">
        <is>
          <t>ESSENTIEL</t>
        </is>
      </c>
      <c r="F13" s="16" t="inlineStr">
        <is>
          <t>Rucher du bocage Virois</t>
        </is>
      </c>
      <c r="G13" s="16" t="inlineStr">
        <is>
          <t>NORMAND DIRECT TERROIR</t>
        </is>
      </c>
      <c r="H13" s="16" t="inlineStr">
        <is>
          <t>Barquette en bois</t>
        </is>
      </c>
      <c r="I13" s="16" t="inlineStr">
        <is>
          <t>250 g</t>
        </is>
      </c>
      <c r="J13" s="16" t="inlineStr">
        <is>
          <t>NON</t>
        </is>
      </c>
      <c r="K13" s="17" t="inlineStr">
        <is>
          <t>5.5 %</t>
        </is>
      </c>
      <c r="L13" s="18" t="n">
        <v>3.95</v>
      </c>
      <c r="M13" s="9" t="n">
        <v>9.5</v>
      </c>
      <c r="N13" s="10" t="inlineStr">
        <is>
          <t>PROPOSÉ</t>
        </is>
      </c>
      <c r="O13" s="11">
        <f>IF(M13="","",M13-L13)</f>
        <v/>
      </c>
      <c r="P13" s="12">
        <f>IF(OR(M13="",M13=0),"",(M13-L13)/M13)</f>
        <v/>
      </c>
      <c r="Q13" s="13">
        <f>IF(OR(M13="",L13=0,L13=""),"",M13/L13)</f>
        <v/>
      </c>
      <c r="R13" s="11">
        <f>IF(M13="","",M13*1.055)</f>
        <v/>
      </c>
      <c r="S13" s="14" t="n"/>
      <c r="T13" s="15" t="n"/>
    </row>
    <row r="14">
      <c r="A14" s="6" t="inlineStr">
        <is>
          <t>PROD-0455</t>
        </is>
      </c>
      <c r="B14" s="6" t="inlineStr">
        <is>
          <t>Pain D'épices aux éclats de Noix  250gr</t>
        </is>
      </c>
      <c r="C14" s="6" t="inlineStr">
        <is>
          <t>BISCUITERIE</t>
        </is>
      </c>
      <c r="D14" s="6" t="inlineStr">
        <is>
          <t>BISCUIT</t>
        </is>
      </c>
      <c r="E14" s="6" t="inlineStr">
        <is>
          <t>ESSENTIEL</t>
        </is>
      </c>
      <c r="F14" s="6" t="inlineStr">
        <is>
          <t>Rucher du bocage Virois</t>
        </is>
      </c>
      <c r="G14" s="6" t="inlineStr">
        <is>
          <t>NORMAND DIRECT TERROIR</t>
        </is>
      </c>
      <c r="H14" s="6" t="inlineStr">
        <is>
          <t>Barquette en bois</t>
        </is>
      </c>
      <c r="I14" s="6" t="inlineStr">
        <is>
          <t>250 g</t>
        </is>
      </c>
      <c r="J14" s="6" t="inlineStr">
        <is>
          <t>NON</t>
        </is>
      </c>
      <c r="K14" s="7" t="inlineStr">
        <is>
          <t>5.5 %</t>
        </is>
      </c>
      <c r="L14" s="8" t="n">
        <v>3.95</v>
      </c>
      <c r="M14" s="9" t="n">
        <v>9.5</v>
      </c>
      <c r="N14" s="10" t="inlineStr">
        <is>
          <t>PROPOSÉ</t>
        </is>
      </c>
      <c r="O14" s="11">
        <f>IF(M14="","",M14-L14)</f>
        <v/>
      </c>
      <c r="P14" s="12">
        <f>IF(OR(M14="",M14=0),"",(M14-L14)/M14)</f>
        <v/>
      </c>
      <c r="Q14" s="13">
        <f>IF(OR(M14="",L14=0,L14=""),"",M14/L14)</f>
        <v/>
      </c>
      <c r="R14" s="11">
        <f>IF(M14="","",M14*1.055)</f>
        <v/>
      </c>
      <c r="S14" s="14" t="n"/>
      <c r="T14" s="15" t="n"/>
    </row>
    <row r="15">
      <c r="A15" s="16" t="inlineStr">
        <is>
          <t>PROD-0456</t>
        </is>
      </c>
      <c r="B15" s="16" t="inlineStr">
        <is>
          <t>Pain D'épices aux écorces d'Oranges  250gr</t>
        </is>
      </c>
      <c r="C15" s="16" t="inlineStr">
        <is>
          <t>BISCUITERIE</t>
        </is>
      </c>
      <c r="D15" s="16" t="inlineStr">
        <is>
          <t>BISCUIT</t>
        </is>
      </c>
      <c r="E15" s="16" t="inlineStr">
        <is>
          <t>ESSENTIEL</t>
        </is>
      </c>
      <c r="F15" s="16" t="inlineStr">
        <is>
          <t>Rucher du bocage Virois</t>
        </is>
      </c>
      <c r="G15" s="16" t="inlineStr">
        <is>
          <t>NORMAND DIRECT TERROIR</t>
        </is>
      </c>
      <c r="H15" s="16" t="inlineStr">
        <is>
          <t>Barquette en bois</t>
        </is>
      </c>
      <c r="I15" s="16" t="inlineStr">
        <is>
          <t>250 g</t>
        </is>
      </c>
      <c r="J15" s="16" t="inlineStr">
        <is>
          <t>NON</t>
        </is>
      </c>
      <c r="K15" s="17" t="inlineStr">
        <is>
          <t>5.5 %</t>
        </is>
      </c>
      <c r="L15" s="18" t="n">
        <v>3.95</v>
      </c>
      <c r="M15" s="9" t="n">
        <v>9.5</v>
      </c>
      <c r="N15" s="10" t="inlineStr">
        <is>
          <t>PROPOSÉ</t>
        </is>
      </c>
      <c r="O15" s="11">
        <f>IF(M15="","",M15-L15)</f>
        <v/>
      </c>
      <c r="P15" s="12">
        <f>IF(OR(M15="",M15=0),"",(M15-L15)/M15)</f>
        <v/>
      </c>
      <c r="Q15" s="13">
        <f>IF(OR(M15="",L15=0,L15=""),"",M15/L15)</f>
        <v/>
      </c>
      <c r="R15" s="11">
        <f>IF(M15="","",M15*1.055)</f>
        <v/>
      </c>
      <c r="S15" s="14" t="n"/>
      <c r="T15" s="15" t="n"/>
    </row>
    <row r="16">
      <c r="A16" s="6" t="inlineStr">
        <is>
          <t>PROD-0457</t>
        </is>
      </c>
      <c r="B16" s="6" t="inlineStr">
        <is>
          <t>Pain D'épices aux Figues 250gr (fin d'année)</t>
        </is>
      </c>
      <c r="C16" s="6" t="inlineStr">
        <is>
          <t>BISCUITERIE</t>
        </is>
      </c>
      <c r="D16" s="6" t="inlineStr">
        <is>
          <t>BISCUIT</t>
        </is>
      </c>
      <c r="E16" s="6" t="inlineStr">
        <is>
          <t>ESSENTIEL</t>
        </is>
      </c>
      <c r="F16" s="6" t="inlineStr">
        <is>
          <t>Rucher du bocage Virois</t>
        </is>
      </c>
      <c r="G16" s="6" t="inlineStr">
        <is>
          <t>NORMAND DIRECT TERROIR</t>
        </is>
      </c>
      <c r="H16" s="6" t="inlineStr">
        <is>
          <t>Barquette en bois</t>
        </is>
      </c>
      <c r="I16" s="6" t="inlineStr">
        <is>
          <t>250 g</t>
        </is>
      </c>
      <c r="J16" s="6" t="inlineStr">
        <is>
          <t>NON</t>
        </is>
      </c>
      <c r="K16" s="7" t="inlineStr">
        <is>
          <t>5.5 %</t>
        </is>
      </c>
      <c r="L16" s="8" t="n">
        <v>3.95</v>
      </c>
      <c r="M16" s="9" t="n">
        <v>9.5</v>
      </c>
      <c r="N16" s="10" t="inlineStr">
        <is>
          <t>PROPOSÉ</t>
        </is>
      </c>
      <c r="O16" s="11">
        <f>IF(M16="","",M16-L16)</f>
        <v/>
      </c>
      <c r="P16" s="12">
        <f>IF(OR(M16="",M16=0),"",(M16-L16)/M16)</f>
        <v/>
      </c>
      <c r="Q16" s="13">
        <f>IF(OR(M16="",L16=0,L16=""),"",M16/L16)</f>
        <v/>
      </c>
      <c r="R16" s="11">
        <f>IF(M16="","",M16*1.055)</f>
        <v/>
      </c>
      <c r="S16" s="14" t="n"/>
      <c r="T16" s="15" t="n"/>
    </row>
    <row r="17">
      <c r="A17" s="16" t="inlineStr">
        <is>
          <t>PROD-0025</t>
        </is>
      </c>
      <c r="B17" s="16" t="inlineStr">
        <is>
          <t>Tuiles pâtissières 150 grs</t>
        </is>
      </c>
      <c r="C17" s="16" t="inlineStr">
        <is>
          <t>BISCUITERIE</t>
        </is>
      </c>
      <c r="D17" s="16" t="inlineStr">
        <is>
          <t>BISCUIT</t>
        </is>
      </c>
      <c r="E17" s="16" t="inlineStr">
        <is>
          <t>ESSENTIEL</t>
        </is>
      </c>
      <c r="F17" s="16" t="inlineStr">
        <is>
          <t>BISCUITERIE DE QUINEVILLE</t>
        </is>
      </c>
      <c r="G17" s="16" t="inlineStr">
        <is>
          <t>NORMAND DIRECT TERROIR</t>
        </is>
      </c>
      <c r="H17" s="16" t="inlineStr"/>
      <c r="I17" s="16" t="inlineStr">
        <is>
          <t>150 g</t>
        </is>
      </c>
      <c r="J17" s="16" t="inlineStr">
        <is>
          <t>NON</t>
        </is>
      </c>
      <c r="K17" s="17" t="inlineStr">
        <is>
          <t>5.5 %</t>
        </is>
      </c>
      <c r="L17" s="18" t="n">
        <v>3.85</v>
      </c>
      <c r="M17" s="9" t="n">
        <v>9.199999999999999</v>
      </c>
      <c r="N17" s="10" t="inlineStr">
        <is>
          <t>PROPOSÉ</t>
        </is>
      </c>
      <c r="O17" s="11">
        <f>IF(M17="","",M17-L17)</f>
        <v/>
      </c>
      <c r="P17" s="12">
        <f>IF(OR(M17="",M17=0),"",(M17-L17)/M17)</f>
        <v/>
      </c>
      <c r="Q17" s="13">
        <f>IF(OR(M17="",L17=0,L17=""),"",M17/L17)</f>
        <v/>
      </c>
      <c r="R17" s="11">
        <f>IF(M17="","",M17*1.055)</f>
        <v/>
      </c>
      <c r="S17" s="14" t="n"/>
      <c r="T17" s="15" t="n"/>
    </row>
    <row r="18">
      <c r="A18" s="6" t="inlineStr">
        <is>
          <t>PROD-0453</t>
        </is>
      </c>
      <c r="B18" s="6" t="inlineStr">
        <is>
          <t>Pain D'épices Nature 250gr</t>
        </is>
      </c>
      <c r="C18" s="6" t="inlineStr">
        <is>
          <t>BISCUITERIE</t>
        </is>
      </c>
      <c r="D18" s="6" t="inlineStr">
        <is>
          <t>BISCUIT</t>
        </is>
      </c>
      <c r="E18" s="6" t="inlineStr">
        <is>
          <t>ESSENTIEL</t>
        </is>
      </c>
      <c r="F18" s="6" t="inlineStr">
        <is>
          <t>Rucher du bocage Virois</t>
        </is>
      </c>
      <c r="G18" s="6" t="inlineStr">
        <is>
          <t>NORMAND DIRECT TERROIR</t>
        </is>
      </c>
      <c r="H18" s="6" t="inlineStr">
        <is>
          <t>Barquette en bois</t>
        </is>
      </c>
      <c r="I18" s="6" t="inlineStr">
        <is>
          <t>250 g</t>
        </is>
      </c>
      <c r="J18" s="6" t="inlineStr">
        <is>
          <t>NON</t>
        </is>
      </c>
      <c r="K18" s="7" t="inlineStr">
        <is>
          <t>5.5 %</t>
        </is>
      </c>
      <c r="L18" s="8" t="n">
        <v>3.8</v>
      </c>
      <c r="M18" s="9" t="n">
        <v>9.1</v>
      </c>
      <c r="N18" s="10" t="inlineStr">
        <is>
          <t>PROPOSÉ</t>
        </is>
      </c>
      <c r="O18" s="11">
        <f>IF(M18="","",M18-L18)</f>
        <v/>
      </c>
      <c r="P18" s="12">
        <f>IF(OR(M18="",M18=0),"",(M18-L18)/M18)</f>
        <v/>
      </c>
      <c r="Q18" s="13">
        <f>IF(OR(M18="",L18=0,L18=""),"",M18/L18)</f>
        <v/>
      </c>
      <c r="R18" s="11">
        <f>IF(M18="","",M18*1.055)</f>
        <v/>
      </c>
      <c r="S18" s="14" t="n"/>
      <c r="T18" s="15" t="n"/>
    </row>
    <row r="19">
      <c r="A19" s="16" t="inlineStr">
        <is>
          <t>PROD-0014</t>
        </is>
      </c>
      <c r="B19" s="16" t="inlineStr">
        <is>
          <t>Croquenoisettes 180 grs</t>
        </is>
      </c>
      <c r="C19" s="16" t="inlineStr">
        <is>
          <t>BISCUITERIE</t>
        </is>
      </c>
      <c r="D19" s="16" t="inlineStr">
        <is>
          <t>BISCUIT</t>
        </is>
      </c>
      <c r="E19" s="16" t="inlineStr">
        <is>
          <t>ESSENTIEL</t>
        </is>
      </c>
      <c r="F19" s="16" t="inlineStr">
        <is>
          <t>BISCUITERIE DE QUINEVILLE</t>
        </is>
      </c>
      <c r="G19" s="16" t="inlineStr">
        <is>
          <t>NORMAND DIRECT TERROIR</t>
        </is>
      </c>
      <c r="H19" s="16" t="inlineStr"/>
      <c r="I19" s="16" t="inlineStr">
        <is>
          <t>180 g</t>
        </is>
      </c>
      <c r="J19" s="16" t="inlineStr">
        <is>
          <t>NON</t>
        </is>
      </c>
      <c r="K19" s="17" t="inlineStr">
        <is>
          <t>5.5 %</t>
        </is>
      </c>
      <c r="L19" s="18" t="n">
        <v>3.73</v>
      </c>
      <c r="M19" s="9" t="n">
        <v>9</v>
      </c>
      <c r="N19" s="10" t="inlineStr">
        <is>
          <t>PROPOSÉ</t>
        </is>
      </c>
      <c r="O19" s="11">
        <f>IF(M19="","",M19-L19)</f>
        <v/>
      </c>
      <c r="P19" s="12">
        <f>IF(OR(M19="",M19=0),"",(M19-L19)/M19)</f>
        <v/>
      </c>
      <c r="Q19" s="13">
        <f>IF(OR(M19="",L19=0,L19=""),"",M19/L19)</f>
        <v/>
      </c>
      <c r="R19" s="11">
        <f>IF(M19="","",M19*1.055)</f>
        <v/>
      </c>
      <c r="S19" s="14" t="n"/>
      <c r="T19" s="15" t="n"/>
    </row>
    <row r="20">
      <c r="A20" s="6" t="inlineStr">
        <is>
          <t>PROD-0024</t>
        </is>
      </c>
      <c r="B20" s="6" t="inlineStr">
        <is>
          <t>Sablés Mamie 220 grs</t>
        </is>
      </c>
      <c r="C20" s="6" t="inlineStr">
        <is>
          <t>BISCUITERIE</t>
        </is>
      </c>
      <c r="D20" s="6" t="inlineStr">
        <is>
          <t>BISCUIT</t>
        </is>
      </c>
      <c r="E20" s="6" t="inlineStr">
        <is>
          <t>ESSENTIEL</t>
        </is>
      </c>
      <c r="F20" s="6" t="inlineStr">
        <is>
          <t>BISCUITERIE DE QUINEVILLE</t>
        </is>
      </c>
      <c r="G20" s="6" t="inlineStr">
        <is>
          <t>NORMAND DIRECT TERROIR</t>
        </is>
      </c>
      <c r="H20" s="6" t="inlineStr"/>
      <c r="I20" s="6" t="inlineStr">
        <is>
          <t>220 g</t>
        </is>
      </c>
      <c r="J20" s="6" t="inlineStr">
        <is>
          <t>NON</t>
        </is>
      </c>
      <c r="K20" s="7" t="inlineStr">
        <is>
          <t>5.5 %</t>
        </is>
      </c>
      <c r="L20" s="8" t="n">
        <v>3.65</v>
      </c>
      <c r="M20" s="9" t="n">
        <v>8.800000000000001</v>
      </c>
      <c r="N20" s="10" t="inlineStr">
        <is>
          <t>PROPOSÉ</t>
        </is>
      </c>
      <c r="O20" s="11">
        <f>IF(M20="","",M20-L20)</f>
        <v/>
      </c>
      <c r="P20" s="12">
        <f>IF(OR(M20="",M20=0),"",(M20-L20)/M20)</f>
        <v/>
      </c>
      <c r="Q20" s="13">
        <f>IF(OR(M20="",L20=0,L20=""),"",M20/L20)</f>
        <v/>
      </c>
      <c r="R20" s="11">
        <f>IF(M20="","",M20*1.055)</f>
        <v/>
      </c>
      <c r="S20" s="14" t="n"/>
      <c r="T20" s="15" t="n"/>
    </row>
    <row r="21">
      <c r="A21" s="16" t="inlineStr">
        <is>
          <t>PROD-0005</t>
        </is>
      </c>
      <c r="B21" s="16" t="inlineStr">
        <is>
          <t>Boutons de la Manche 250 grs moins de 12</t>
        </is>
      </c>
      <c r="C21" s="16" t="inlineStr">
        <is>
          <t>BISCUITERIE</t>
        </is>
      </c>
      <c r="D21" s="16" t="inlineStr">
        <is>
          <t>BISCUIT</t>
        </is>
      </c>
      <c r="E21" s="16" t="inlineStr">
        <is>
          <t>ESSENTIEL</t>
        </is>
      </c>
      <c r="F21" s="16" t="inlineStr">
        <is>
          <t>BISCUITERIE DE QUINEVILLE</t>
        </is>
      </c>
      <c r="G21" s="16" t="inlineStr">
        <is>
          <t>NORMAND DIRECT TERROIR</t>
        </is>
      </c>
      <c r="H21" s="16" t="inlineStr"/>
      <c r="I21" s="16" t="inlineStr">
        <is>
          <t>250 g</t>
        </is>
      </c>
      <c r="J21" s="16" t="inlineStr">
        <is>
          <t>NON</t>
        </is>
      </c>
      <c r="K21" s="17" t="inlineStr">
        <is>
          <t>5.5 %</t>
        </is>
      </c>
      <c r="L21" s="18" t="n">
        <v>3.6</v>
      </c>
      <c r="M21" s="9" t="n">
        <v>8.6</v>
      </c>
      <c r="N21" s="10" t="inlineStr">
        <is>
          <t>PROPOSÉ</t>
        </is>
      </c>
      <c r="O21" s="11">
        <f>IF(M21="","",M21-L21)</f>
        <v/>
      </c>
      <c r="P21" s="12">
        <f>IF(OR(M21="",M21=0),"",(M21-L21)/M21)</f>
        <v/>
      </c>
      <c r="Q21" s="13">
        <f>IF(OR(M21="",L21=0,L21=""),"",M21/L21)</f>
        <v/>
      </c>
      <c r="R21" s="11">
        <f>IF(M21="","",M21*1.055)</f>
        <v/>
      </c>
      <c r="S21" s="14" t="n"/>
      <c r="T21" s="15" t="n"/>
    </row>
    <row r="22">
      <c r="A22" s="6" t="inlineStr">
        <is>
          <t>PROD-0007</t>
        </is>
      </c>
      <c r="B22" s="6" t="inlineStr">
        <is>
          <t>Cookies pépite de chocolat 220 grs</t>
        </is>
      </c>
      <c r="C22" s="6" t="inlineStr">
        <is>
          <t>BISCUITERIE</t>
        </is>
      </c>
      <c r="D22" s="6" t="inlineStr">
        <is>
          <t>BISCUIT</t>
        </is>
      </c>
      <c r="E22" s="6" t="inlineStr">
        <is>
          <t>ESSENTIEL</t>
        </is>
      </c>
      <c r="F22" s="6" t="inlineStr">
        <is>
          <t>BISCUITERIE DE QUINEVILLE</t>
        </is>
      </c>
      <c r="G22" s="6" t="inlineStr">
        <is>
          <t>NORMAND DIRECT TERROIR</t>
        </is>
      </c>
      <c r="H22" s="6" t="inlineStr"/>
      <c r="I22" s="6" t="inlineStr">
        <is>
          <t>220 g</t>
        </is>
      </c>
      <c r="J22" s="6" t="inlineStr">
        <is>
          <t>NON</t>
        </is>
      </c>
      <c r="K22" s="7" t="inlineStr">
        <is>
          <t>5.5 %</t>
        </is>
      </c>
      <c r="L22" s="8" t="n">
        <v>3.6</v>
      </c>
      <c r="M22" s="9" t="n">
        <v>8.6</v>
      </c>
      <c r="N22" s="10" t="inlineStr">
        <is>
          <t>PROPOSÉ</t>
        </is>
      </c>
      <c r="O22" s="11">
        <f>IF(M22="","",M22-L22)</f>
        <v/>
      </c>
      <c r="P22" s="12">
        <f>IF(OR(M22="",M22=0),"",(M22-L22)/M22)</f>
        <v/>
      </c>
      <c r="Q22" s="13">
        <f>IF(OR(M22="",L22=0,L22=""),"",M22/L22)</f>
        <v/>
      </c>
      <c r="R22" s="11">
        <f>IF(M22="","",M22*1.055)</f>
        <v/>
      </c>
      <c r="S22" s="14" t="n"/>
      <c r="T22" s="15" t="n"/>
    </row>
    <row r="23">
      <c r="A23" s="16" t="inlineStr">
        <is>
          <t>PROD-0021</t>
        </is>
      </c>
      <c r="B23" s="16" t="inlineStr">
        <is>
          <t>Sablé éclats de caramel 180 grs</t>
        </is>
      </c>
      <c r="C23" s="16" t="inlineStr">
        <is>
          <t>BISCUITERIE</t>
        </is>
      </c>
      <c r="D23" s="16" t="inlineStr">
        <is>
          <t>BISCUIT</t>
        </is>
      </c>
      <c r="E23" s="16" t="inlineStr">
        <is>
          <t>ESSENTIEL</t>
        </is>
      </c>
      <c r="F23" s="16" t="inlineStr">
        <is>
          <t>BISCUITERIE DE QUINEVILLE</t>
        </is>
      </c>
      <c r="G23" s="16" t="inlineStr">
        <is>
          <t>NORMAND DIRECT TERROIR</t>
        </is>
      </c>
      <c r="H23" s="16" t="inlineStr"/>
      <c r="I23" s="16" t="inlineStr">
        <is>
          <t>180 g</t>
        </is>
      </c>
      <c r="J23" s="16" t="inlineStr">
        <is>
          <t>NON</t>
        </is>
      </c>
      <c r="K23" s="17" t="inlineStr">
        <is>
          <t>5.5 %</t>
        </is>
      </c>
      <c r="L23" s="18" t="n">
        <v>3.56</v>
      </c>
      <c r="M23" s="9" t="n">
        <v>8.5</v>
      </c>
      <c r="N23" s="10" t="inlineStr">
        <is>
          <t>PROPOSÉ</t>
        </is>
      </c>
      <c r="O23" s="11">
        <f>IF(M23="","",M23-L23)</f>
        <v/>
      </c>
      <c r="P23" s="12">
        <f>IF(OR(M23="",M23=0),"",(M23-L23)/M23)</f>
        <v/>
      </c>
      <c r="Q23" s="13">
        <f>IF(OR(M23="",L23=0,L23=""),"",M23/L23)</f>
        <v/>
      </c>
      <c r="R23" s="11">
        <f>IF(M23="","",M23*1.055)</f>
        <v/>
      </c>
      <c r="S23" s="14" t="n"/>
      <c r="T23" s="15" t="n"/>
    </row>
    <row r="24">
      <c r="A24" s="6" t="inlineStr">
        <is>
          <t>PROD-0016</t>
        </is>
      </c>
      <c r="B24" s="6" t="inlineStr">
        <is>
          <t>Croquet Calvados 180 grs</t>
        </is>
      </c>
      <c r="C24" s="6" t="inlineStr">
        <is>
          <t>BISCUITERIE</t>
        </is>
      </c>
      <c r="D24" s="6" t="inlineStr">
        <is>
          <t>BISCUIT</t>
        </is>
      </c>
      <c r="E24" s="6" t="inlineStr">
        <is>
          <t>ESSENTIEL</t>
        </is>
      </c>
      <c r="F24" s="6" t="inlineStr">
        <is>
          <t>BISCUITERIE DE QUINEVILLE</t>
        </is>
      </c>
      <c r="G24" s="6" t="inlineStr">
        <is>
          <t>NORMAND DIRECT TERROIR</t>
        </is>
      </c>
      <c r="H24" s="6" t="inlineStr"/>
      <c r="I24" s="6" t="inlineStr">
        <is>
          <t>180 g</t>
        </is>
      </c>
      <c r="J24" s="6" t="inlineStr">
        <is>
          <t>INGREDIENT_ALCOOLISE</t>
        </is>
      </c>
      <c r="K24" s="7" t="inlineStr">
        <is>
          <t>5.5 %</t>
        </is>
      </c>
      <c r="L24" s="8" t="n">
        <v>3.55</v>
      </c>
      <c r="M24" s="9" t="n">
        <v>8.5</v>
      </c>
      <c r="N24" s="10" t="inlineStr">
        <is>
          <t>PROPOSÉ</t>
        </is>
      </c>
      <c r="O24" s="11">
        <f>IF(M24="","",M24-L24)</f>
        <v/>
      </c>
      <c r="P24" s="12">
        <f>IF(OR(M24="",M24=0),"",(M24-L24)/M24)</f>
        <v/>
      </c>
      <c r="Q24" s="13">
        <f>IF(OR(M24="",L24=0,L24=""),"",M24/L24)</f>
        <v/>
      </c>
      <c r="R24" s="11">
        <f>IF(M24="","",M24*1.055)</f>
        <v/>
      </c>
      <c r="S24" s="14" t="n"/>
      <c r="T24" s="15" t="n"/>
    </row>
    <row r="25">
      <c r="A25" s="16" t="inlineStr">
        <is>
          <t>PROD-0015</t>
        </is>
      </c>
      <c r="B25" s="16" t="inlineStr">
        <is>
          <t>Croquentin 220 grs</t>
        </is>
      </c>
      <c r="C25" s="16" t="inlineStr">
        <is>
          <t>BISCUITERIE</t>
        </is>
      </c>
      <c r="D25" s="16" t="inlineStr">
        <is>
          <t>BISCUIT</t>
        </is>
      </c>
      <c r="E25" s="16" t="inlineStr">
        <is>
          <t>ESSENTIEL</t>
        </is>
      </c>
      <c r="F25" s="16" t="inlineStr">
        <is>
          <t>BISCUITERIE DE QUINEVILLE</t>
        </is>
      </c>
      <c r="G25" s="16" t="inlineStr">
        <is>
          <t>NORMAND DIRECT TERROIR</t>
        </is>
      </c>
      <c r="H25" s="16" t="inlineStr"/>
      <c r="I25" s="16" t="inlineStr">
        <is>
          <t>220 g</t>
        </is>
      </c>
      <c r="J25" s="16" t="inlineStr">
        <is>
          <t>NON</t>
        </is>
      </c>
      <c r="K25" s="17" t="inlineStr">
        <is>
          <t>5.5 %</t>
        </is>
      </c>
      <c r="L25" s="18" t="n">
        <v>3.5</v>
      </c>
      <c r="M25" s="9" t="n">
        <v>8.4</v>
      </c>
      <c r="N25" s="10" t="inlineStr">
        <is>
          <t>PROPOSÉ</t>
        </is>
      </c>
      <c r="O25" s="11">
        <f>IF(M25="","",M25-L25)</f>
        <v/>
      </c>
      <c r="P25" s="12">
        <f>IF(OR(M25="",M25=0),"",(M25-L25)/M25)</f>
        <v/>
      </c>
      <c r="Q25" s="13">
        <f>IF(OR(M25="",L25=0,L25=""),"",M25/L25)</f>
        <v/>
      </c>
      <c r="R25" s="11">
        <f>IF(M25="","",M25*1.055)</f>
        <v/>
      </c>
      <c r="S25" s="14" t="n"/>
      <c r="T25" s="15" t="n"/>
    </row>
    <row r="26">
      <c r="A26" s="6" t="inlineStr">
        <is>
          <t>PROD-0006</t>
        </is>
      </c>
      <c r="B26" s="6" t="inlineStr">
        <is>
          <t>Boutons de la Manche 250 grs/ carton de 12</t>
        </is>
      </c>
      <c r="C26" s="6" t="inlineStr">
        <is>
          <t>BISCUITERIE</t>
        </is>
      </c>
      <c r="D26" s="6" t="inlineStr">
        <is>
          <t>BISCUIT</t>
        </is>
      </c>
      <c r="E26" s="6" t="inlineStr">
        <is>
          <t>ESSENTIEL</t>
        </is>
      </c>
      <c r="F26" s="6" t="inlineStr">
        <is>
          <t>BISCUITERIE DE QUINEVILLE</t>
        </is>
      </c>
      <c r="G26" s="6" t="inlineStr">
        <is>
          <t>NORMAND DIRECT TERROIR</t>
        </is>
      </c>
      <c r="H26" s="6" t="inlineStr"/>
      <c r="I26" s="6" t="inlineStr">
        <is>
          <t>250 g</t>
        </is>
      </c>
      <c r="J26" s="6" t="inlineStr">
        <is>
          <t>NON</t>
        </is>
      </c>
      <c r="K26" s="7" t="inlineStr">
        <is>
          <t>5.5 %</t>
        </is>
      </c>
      <c r="L26" s="8" t="n">
        <v>3.45</v>
      </c>
      <c r="M26" s="9" t="n">
        <v>8.300000000000001</v>
      </c>
      <c r="N26" s="10" t="inlineStr">
        <is>
          <t>PROPOSÉ</t>
        </is>
      </c>
      <c r="O26" s="11">
        <f>IF(M26="","",M26-L26)</f>
        <v/>
      </c>
      <c r="P26" s="12">
        <f>IF(OR(M26="",M26=0),"",(M26-L26)/M26)</f>
        <v/>
      </c>
      <c r="Q26" s="13">
        <f>IF(OR(M26="",L26=0,L26=""),"",M26/L26)</f>
        <v/>
      </c>
      <c r="R26" s="11">
        <f>IF(M26="","",M26*1.055)</f>
        <v/>
      </c>
      <c r="S26" s="14" t="n"/>
      <c r="T26" s="15" t="n"/>
    </row>
    <row r="27">
      <c r="A27" s="16" t="inlineStr">
        <is>
          <t>PROD-0019</t>
        </is>
      </c>
      <c r="B27" s="16" t="inlineStr">
        <is>
          <t>Pailles feuilletées au sucre 150 grs</t>
        </is>
      </c>
      <c r="C27" s="16" t="inlineStr">
        <is>
          <t>BISCUITERIE</t>
        </is>
      </c>
      <c r="D27" s="16" t="inlineStr">
        <is>
          <t>BISCUIT</t>
        </is>
      </c>
      <c r="E27" s="16" t="inlineStr">
        <is>
          <t>ESSENTIEL</t>
        </is>
      </c>
      <c r="F27" s="16" t="inlineStr">
        <is>
          <t>BISCUITERIE DE QUINEVILLE</t>
        </is>
      </c>
      <c r="G27" s="16" t="inlineStr">
        <is>
          <t>NORMAND DIRECT TERROIR</t>
        </is>
      </c>
      <c r="H27" s="16" t="inlineStr"/>
      <c r="I27" s="16" t="inlineStr">
        <is>
          <t>150 g</t>
        </is>
      </c>
      <c r="J27" s="16" t="inlineStr">
        <is>
          <t>NON</t>
        </is>
      </c>
      <c r="K27" s="17" t="inlineStr">
        <is>
          <t>5.5 %</t>
        </is>
      </c>
      <c r="L27" s="18" t="n">
        <v>3.45</v>
      </c>
      <c r="M27" s="9" t="n">
        <v>8.300000000000001</v>
      </c>
      <c r="N27" s="10" t="inlineStr">
        <is>
          <t>PROPOSÉ</t>
        </is>
      </c>
      <c r="O27" s="11">
        <f>IF(M27="","",M27-L27)</f>
        <v/>
      </c>
      <c r="P27" s="12">
        <f>IF(OR(M27="",M27=0),"",(M27-L27)/M27)</f>
        <v/>
      </c>
      <c r="Q27" s="13">
        <f>IF(OR(M27="",L27=0,L27=""),"",M27/L27)</f>
        <v/>
      </c>
      <c r="R27" s="11">
        <f>IF(M27="","",M27*1.055)</f>
        <v/>
      </c>
      <c r="S27" s="14" t="n"/>
      <c r="T27" s="15" t="n"/>
    </row>
    <row r="28">
      <c r="A28" s="6" t="inlineStr">
        <is>
          <t>PROD-0017</t>
        </is>
      </c>
      <c r="B28" s="6" t="inlineStr">
        <is>
          <t>Financier sachet 180 grs</t>
        </is>
      </c>
      <c r="C28" s="6" t="inlineStr">
        <is>
          <t>BISCUITERIE</t>
        </is>
      </c>
      <c r="D28" s="6" t="inlineStr">
        <is>
          <t>BISCUIT</t>
        </is>
      </c>
      <c r="E28" s="6" t="inlineStr">
        <is>
          <t>ESSENTIEL</t>
        </is>
      </c>
      <c r="F28" s="6" t="inlineStr">
        <is>
          <t>BISCUITERIE DE QUINEVILLE</t>
        </is>
      </c>
      <c r="G28" s="6" t="inlineStr">
        <is>
          <t>NORMAND DIRECT TERROIR</t>
        </is>
      </c>
      <c r="H28" s="6" t="inlineStr"/>
      <c r="I28" s="6" t="inlineStr">
        <is>
          <t>180 g</t>
        </is>
      </c>
      <c r="J28" s="6" t="inlineStr">
        <is>
          <t>NON</t>
        </is>
      </c>
      <c r="K28" s="7" t="inlineStr">
        <is>
          <t>5.5 %</t>
        </is>
      </c>
      <c r="L28" s="8" t="n">
        <v>3.25</v>
      </c>
      <c r="M28" s="9" t="n">
        <v>7.8</v>
      </c>
      <c r="N28" s="10" t="inlineStr">
        <is>
          <t>PROPOSÉ</t>
        </is>
      </c>
      <c r="O28" s="11">
        <f>IF(M28="","",M28-L28)</f>
        <v/>
      </c>
      <c r="P28" s="12">
        <f>IF(OR(M28="",M28=0),"",(M28-L28)/M28)</f>
        <v/>
      </c>
      <c r="Q28" s="13">
        <f>IF(OR(M28="",L28=0,L28=""),"",M28/L28)</f>
        <v/>
      </c>
      <c r="R28" s="11">
        <f>IF(M28="","",M28*1.055)</f>
        <v/>
      </c>
      <c r="S28" s="14" t="n"/>
      <c r="T28" s="15" t="n"/>
    </row>
    <row r="29">
      <c r="A29" s="16" t="inlineStr">
        <is>
          <t>PROD-0026</t>
        </is>
      </c>
      <c r="B29" s="16" t="inlineStr">
        <is>
          <t>Sablette mendiante chocolat 130 grs</t>
        </is>
      </c>
      <c r="C29" s="16" t="inlineStr">
        <is>
          <t>BISCUITERIE</t>
        </is>
      </c>
      <c r="D29" s="16" t="inlineStr">
        <is>
          <t>BISCUIT</t>
        </is>
      </c>
      <c r="E29" s="16" t="inlineStr">
        <is>
          <t>ESSENTIEL</t>
        </is>
      </c>
      <c r="F29" s="16" t="inlineStr">
        <is>
          <t>BISCUITERIE DE QUINEVILLE</t>
        </is>
      </c>
      <c r="G29" s="16" t="inlineStr">
        <is>
          <t>NORMAND DIRECT TERROIR</t>
        </is>
      </c>
      <c r="H29" s="16" t="inlineStr"/>
      <c r="I29" s="16" t="inlineStr">
        <is>
          <t>130 g</t>
        </is>
      </c>
      <c r="J29" s="16" t="inlineStr">
        <is>
          <t>NON</t>
        </is>
      </c>
      <c r="K29" s="17" t="inlineStr">
        <is>
          <t>5.5 %</t>
        </is>
      </c>
      <c r="L29" s="18" t="n">
        <v>3</v>
      </c>
      <c r="M29" s="9" t="n">
        <v>7.2</v>
      </c>
      <c r="N29" s="10" t="inlineStr">
        <is>
          <t>PROPOSÉ</t>
        </is>
      </c>
      <c r="O29" s="11">
        <f>IF(M29="","",M29-L29)</f>
        <v/>
      </c>
      <c r="P29" s="12">
        <f>IF(OR(M29="",M29=0),"",(M29-L29)/M29)</f>
        <v/>
      </c>
      <c r="Q29" s="13">
        <f>IF(OR(M29="",L29=0,L29=""),"",M29/L29)</f>
        <v/>
      </c>
      <c r="R29" s="11">
        <f>IF(M29="","",M29*1.055)</f>
        <v/>
      </c>
      <c r="S29" s="14" t="n"/>
      <c r="T29" s="15" t="n"/>
    </row>
    <row r="30">
      <c r="A30" s="6" t="inlineStr">
        <is>
          <t>PROD-0003</t>
        </is>
      </c>
      <c r="B30" s="6" t="inlineStr">
        <is>
          <t>Palets Camembert du Cotentin pavot 100 grs</t>
        </is>
      </c>
      <c r="C30" s="6" t="inlineStr">
        <is>
          <t>BISCUITERIE</t>
        </is>
      </c>
      <c r="D30" s="6" t="inlineStr">
        <is>
          <t>BISCUIT</t>
        </is>
      </c>
      <c r="E30" s="6" t="inlineStr">
        <is>
          <t>ESSENTIEL</t>
        </is>
      </c>
      <c r="F30" s="6" t="inlineStr">
        <is>
          <t>BISCUITERIE DE QUINEVILLE</t>
        </is>
      </c>
      <c r="G30" s="6" t="inlineStr">
        <is>
          <t>NORMAND DIRECT TERROIR</t>
        </is>
      </c>
      <c r="H30" s="6" t="inlineStr"/>
      <c r="I30" s="6" t="inlineStr">
        <is>
          <t>100 g</t>
        </is>
      </c>
      <c r="J30" s="6" t="inlineStr">
        <is>
          <t>NON</t>
        </is>
      </c>
      <c r="K30" s="7" t="inlineStr">
        <is>
          <t>5.5 %</t>
        </is>
      </c>
      <c r="L30" s="8" t="n">
        <v>2.5</v>
      </c>
      <c r="M30" s="9" t="n">
        <v>6.6</v>
      </c>
      <c r="N30" s="10" t="inlineStr">
        <is>
          <t>PROPOSÉ</t>
        </is>
      </c>
      <c r="O30" s="11">
        <f>IF(M30="","",M30-L30)</f>
        <v/>
      </c>
      <c r="P30" s="12">
        <f>IF(OR(M30="",M30=0),"",(M30-L30)/M30)</f>
        <v/>
      </c>
      <c r="Q30" s="13">
        <f>IF(OR(M30="",L30=0,L30=""),"",M30/L30)</f>
        <v/>
      </c>
      <c r="R30" s="11">
        <f>IF(M30="","",M30*1.055)</f>
        <v/>
      </c>
      <c r="S30" s="14" t="n"/>
      <c r="T30" s="15" t="n"/>
    </row>
    <row r="31">
      <c r="A31" s="16" t="inlineStr">
        <is>
          <t>PROD-0022</t>
        </is>
      </c>
      <c r="B31" s="16" t="inlineStr">
        <is>
          <t>Sablé éclats caramel 110 grs mini 50 paquets</t>
        </is>
      </c>
      <c r="C31" s="16" t="inlineStr">
        <is>
          <t>BISCUITERIE</t>
        </is>
      </c>
      <c r="D31" s="16" t="inlineStr">
        <is>
          <t>BISCUIT</t>
        </is>
      </c>
      <c r="E31" s="16" t="inlineStr">
        <is>
          <t>ESSENTIEL</t>
        </is>
      </c>
      <c r="F31" s="16" t="inlineStr">
        <is>
          <t>BISCUITERIE DE QUINEVILLE</t>
        </is>
      </c>
      <c r="G31" s="16" t="inlineStr">
        <is>
          <t>NORMAND DIRECT TERROIR</t>
        </is>
      </c>
      <c r="H31" s="16" t="inlineStr"/>
      <c r="I31" s="16" t="inlineStr">
        <is>
          <t>110 g</t>
        </is>
      </c>
      <c r="J31" s="16" t="inlineStr">
        <is>
          <t>NON</t>
        </is>
      </c>
      <c r="K31" s="17" t="inlineStr">
        <is>
          <t>5.5 %</t>
        </is>
      </c>
      <c r="L31" s="18" t="n">
        <v>2.5</v>
      </c>
      <c r="M31" s="9" t="n">
        <v>6.6</v>
      </c>
      <c r="N31" s="10" t="inlineStr">
        <is>
          <t>PROPOSÉ</t>
        </is>
      </c>
      <c r="O31" s="11">
        <f>IF(M31="","",M31-L31)</f>
        <v/>
      </c>
      <c r="P31" s="12">
        <f>IF(OR(M31="",M31=0),"",(M31-L31)/M31)</f>
        <v/>
      </c>
      <c r="Q31" s="13">
        <f>IF(OR(M31="",L31=0,L31=""),"",M31/L31)</f>
        <v/>
      </c>
      <c r="R31" s="11">
        <f>IF(M31="","",M31*1.055)</f>
        <v/>
      </c>
      <c r="S31" s="14" t="n"/>
      <c r="T31" s="15" t="n"/>
    </row>
    <row r="32">
      <c r="A32" s="6" t="inlineStr">
        <is>
          <t>PROD-0002</t>
        </is>
      </c>
      <c r="B32" s="6" t="inlineStr">
        <is>
          <t>Pailles feuilletées salées 100 grs</t>
        </is>
      </c>
      <c r="C32" s="6" t="inlineStr">
        <is>
          <t>BISCUITERIE</t>
        </is>
      </c>
      <c r="D32" s="6" t="inlineStr">
        <is>
          <t>BISCUIT</t>
        </is>
      </c>
      <c r="E32" s="6" t="inlineStr">
        <is>
          <t>ESSENTIEL</t>
        </is>
      </c>
      <c r="F32" s="6" t="inlineStr">
        <is>
          <t>BISCUITERIE DE QUINEVILLE</t>
        </is>
      </c>
      <c r="G32" s="6" t="inlineStr">
        <is>
          <t>NORMAND DIRECT TERROIR</t>
        </is>
      </c>
      <c r="H32" s="6" t="inlineStr"/>
      <c r="I32" s="6" t="inlineStr">
        <is>
          <t>100 g</t>
        </is>
      </c>
      <c r="J32" s="6" t="inlineStr">
        <is>
          <t>NON</t>
        </is>
      </c>
      <c r="K32" s="7" t="inlineStr">
        <is>
          <t>5.5 %</t>
        </is>
      </c>
      <c r="L32" s="8" t="n">
        <v>2.45</v>
      </c>
      <c r="M32" s="9" t="n">
        <v>6.5</v>
      </c>
      <c r="N32" s="10" t="inlineStr">
        <is>
          <t>PROPOSÉ</t>
        </is>
      </c>
      <c r="O32" s="11">
        <f>IF(M32="","",M32-L32)</f>
        <v/>
      </c>
      <c r="P32" s="12">
        <f>IF(OR(M32="",M32=0),"",(M32-L32)/M32)</f>
        <v/>
      </c>
      <c r="Q32" s="13">
        <f>IF(OR(M32="",L32=0,L32=""),"",M32/L32)</f>
        <v/>
      </c>
      <c r="R32" s="11">
        <f>IF(M32="","",M32*1.055)</f>
        <v/>
      </c>
      <c r="S32" s="14" t="n"/>
      <c r="T32" s="15" t="n"/>
    </row>
    <row r="33">
      <c r="A33" s="16" t="inlineStr">
        <is>
          <t>PROD-0009</t>
        </is>
      </c>
      <c r="B33" s="16" t="inlineStr">
        <is>
          <t>Coquilles Quinéville 80 grs mini 50 paquets</t>
        </is>
      </c>
      <c r="C33" s="16" t="inlineStr">
        <is>
          <t>BISCUITERIE</t>
        </is>
      </c>
      <c r="D33" s="16" t="inlineStr">
        <is>
          <t>BISCUIT</t>
        </is>
      </c>
      <c r="E33" s="16" t="inlineStr">
        <is>
          <t>ESSENTIEL</t>
        </is>
      </c>
      <c r="F33" s="16" t="inlineStr">
        <is>
          <t>BISCUITERIE DE QUINEVILLE</t>
        </is>
      </c>
      <c r="G33" s="16" t="inlineStr">
        <is>
          <t>NORMAND DIRECT TERROIR</t>
        </is>
      </c>
      <c r="H33" s="16" t="inlineStr"/>
      <c r="I33" s="16" t="inlineStr">
        <is>
          <t>80 g</t>
        </is>
      </c>
      <c r="J33" s="16" t="inlineStr">
        <is>
          <t>NON</t>
        </is>
      </c>
      <c r="K33" s="17" t="inlineStr">
        <is>
          <t>5.5 %</t>
        </is>
      </c>
      <c r="L33" s="18" t="n">
        <v>2.45</v>
      </c>
      <c r="M33" s="9" t="n">
        <v>6.5</v>
      </c>
      <c r="N33" s="10" t="inlineStr">
        <is>
          <t>PROPOSÉ</t>
        </is>
      </c>
      <c r="O33" s="11">
        <f>IF(M33="","",M33-L33)</f>
        <v/>
      </c>
      <c r="P33" s="12">
        <f>IF(OR(M33="",M33=0),"",(M33-L33)/M33)</f>
        <v/>
      </c>
      <c r="Q33" s="13">
        <f>IF(OR(M33="",L33=0,L33=""),"",M33/L33)</f>
        <v/>
      </c>
      <c r="R33" s="11">
        <f>IF(M33="","",M33*1.055)</f>
        <v/>
      </c>
      <c r="S33" s="14" t="n"/>
      <c r="T33" s="15" t="n"/>
    </row>
    <row r="34">
      <c r="A34" s="6" t="inlineStr">
        <is>
          <t>PROD-0011</t>
        </is>
      </c>
      <c r="B34" s="6" t="inlineStr">
        <is>
          <t>Coquilles trio 80 grs mini 50 paquets</t>
        </is>
      </c>
      <c r="C34" s="6" t="inlineStr">
        <is>
          <t>BISCUITERIE</t>
        </is>
      </c>
      <c r="D34" s="6" t="inlineStr">
        <is>
          <t>BISCUIT</t>
        </is>
      </c>
      <c r="E34" s="6" t="inlineStr">
        <is>
          <t>ESSENTIEL</t>
        </is>
      </c>
      <c r="F34" s="6" t="inlineStr">
        <is>
          <t>BISCUITERIE DE QUINEVILLE</t>
        </is>
      </c>
      <c r="G34" s="6" t="inlineStr">
        <is>
          <t>NORMAND DIRECT TERROIR</t>
        </is>
      </c>
      <c r="H34" s="6" t="inlineStr"/>
      <c r="I34" s="6" t="inlineStr">
        <is>
          <t>80 g</t>
        </is>
      </c>
      <c r="J34" s="6" t="inlineStr">
        <is>
          <t>NON</t>
        </is>
      </c>
      <c r="K34" s="7" t="inlineStr">
        <is>
          <t>5.5 %</t>
        </is>
      </c>
      <c r="L34" s="8" t="n">
        <v>2.45</v>
      </c>
      <c r="M34" s="9" t="n">
        <v>6.5</v>
      </c>
      <c r="N34" s="10" t="inlineStr">
        <is>
          <t>PROPOSÉ</t>
        </is>
      </c>
      <c r="O34" s="11">
        <f>IF(M34="","",M34-L34)</f>
        <v/>
      </c>
      <c r="P34" s="12">
        <f>IF(OR(M34="",M34=0),"",(M34-L34)/M34)</f>
        <v/>
      </c>
      <c r="Q34" s="13">
        <f>IF(OR(M34="",L34=0,L34=""),"",M34/L34)</f>
        <v/>
      </c>
      <c r="R34" s="11">
        <f>IF(M34="","",M34*1.055)</f>
        <v/>
      </c>
      <c r="S34" s="14" t="n"/>
      <c r="T34" s="15" t="n"/>
    </row>
    <row r="35">
      <c r="A35" s="16" t="inlineStr">
        <is>
          <t>PROD-0001</t>
        </is>
      </c>
      <c r="B35" s="16" t="inlineStr">
        <is>
          <t>Apéro tomate/paprika 100 grs</t>
        </is>
      </c>
      <c r="C35" s="16" t="inlineStr">
        <is>
          <t>BISCUITERIE</t>
        </is>
      </c>
      <c r="D35" s="16" t="inlineStr">
        <is>
          <t>BISCUIT</t>
        </is>
      </c>
      <c r="E35" s="16" t="inlineStr">
        <is>
          <t>ESSENTIEL</t>
        </is>
      </c>
      <c r="F35" s="16" t="inlineStr">
        <is>
          <t>BISCUITERIE DE QUINEVILLE</t>
        </is>
      </c>
      <c r="G35" s="16" t="inlineStr">
        <is>
          <t>NORMAND DIRECT TERROIR</t>
        </is>
      </c>
      <c r="H35" s="16" t="inlineStr"/>
      <c r="I35" s="16" t="inlineStr">
        <is>
          <t>100 g</t>
        </is>
      </c>
      <c r="J35" s="16" t="inlineStr">
        <is>
          <t>NON</t>
        </is>
      </c>
      <c r="K35" s="17" t="inlineStr">
        <is>
          <t>5.5 %</t>
        </is>
      </c>
      <c r="L35" s="18" t="n">
        <v>2.15</v>
      </c>
      <c r="M35" s="9" t="n">
        <v>5.7</v>
      </c>
      <c r="N35" s="10" t="inlineStr">
        <is>
          <t>PROPOSÉ</t>
        </is>
      </c>
      <c r="O35" s="11">
        <f>IF(M35="","",M35-L35)</f>
        <v/>
      </c>
      <c r="P35" s="12">
        <f>IF(OR(M35="",M35=0),"",(M35-L35)/M35)</f>
        <v/>
      </c>
      <c r="Q35" s="13">
        <f>IF(OR(M35="",L35=0,L35=""),"",M35/L35)</f>
        <v/>
      </c>
      <c r="R35" s="11">
        <f>IF(M35="","",M35*1.055)</f>
        <v/>
      </c>
      <c r="S35" s="14" t="n"/>
      <c r="T35" s="15" t="n"/>
    </row>
    <row r="36">
      <c r="A36" s="6" t="inlineStr">
        <is>
          <t>PROD-0452</t>
        </is>
      </c>
      <c r="B36" s="6" t="inlineStr">
        <is>
          <t>Pain D'épices Nature 100gr</t>
        </is>
      </c>
      <c r="C36" s="6" t="inlineStr">
        <is>
          <t>BISCUITERIE</t>
        </is>
      </c>
      <c r="D36" s="6" t="inlineStr">
        <is>
          <t>BISCUIT</t>
        </is>
      </c>
      <c r="E36" s="6" t="inlineStr">
        <is>
          <t>ESSENTIEL</t>
        </is>
      </c>
      <c r="F36" s="6" t="inlineStr">
        <is>
          <t>Rucher du bocage Virois</t>
        </is>
      </c>
      <c r="G36" s="6" t="inlineStr">
        <is>
          <t>NORMAND DIRECT TERROIR</t>
        </is>
      </c>
      <c r="H36" s="6" t="inlineStr">
        <is>
          <t>Barquette en bois</t>
        </is>
      </c>
      <c r="I36" s="6" t="inlineStr">
        <is>
          <t>100 g</t>
        </is>
      </c>
      <c r="J36" s="6" t="inlineStr">
        <is>
          <t>NON</t>
        </is>
      </c>
      <c r="K36" s="19" t="inlineStr">
        <is>
          <t>À CONFIRMER</t>
        </is>
      </c>
      <c r="L36" s="8" t="n">
        <v>1.9</v>
      </c>
      <c r="M36" s="9" t="n">
        <v>5</v>
      </c>
      <c r="N36" s="10" t="inlineStr">
        <is>
          <t>PROPOSÉ</t>
        </is>
      </c>
      <c r="O36" s="11">
        <f>IF(M36="","",M36-L36)</f>
        <v/>
      </c>
      <c r="P36" s="12">
        <f>IF(OR(M36="",M36=0),"",(M36-L36)/M36)</f>
        <v/>
      </c>
      <c r="Q36" s="13">
        <f>IF(OR(M36="",L36=0,L36=""),"",M36/L36)</f>
        <v/>
      </c>
      <c r="R36" s="11">
        <f>IF(M36="","","TVA à confirmer")</f>
        <v/>
      </c>
      <c r="S36" s="14" t="n"/>
      <c r="T36" s="15" t="n"/>
    </row>
    <row r="37">
      <c r="A37" s="16" t="inlineStr">
        <is>
          <t>PROD-0029</t>
        </is>
      </c>
      <c r="B37" s="16" t="inlineStr">
        <is>
          <t>Tuiles chocolat noir et lacté 200gr</t>
        </is>
      </c>
      <c r="C37" s="16" t="inlineStr">
        <is>
          <t>BISCUITERIE</t>
        </is>
      </c>
      <c r="D37" s="16" t="inlineStr">
        <is>
          <t>BISCUIT</t>
        </is>
      </c>
      <c r="E37" s="16" t="inlineStr">
        <is>
          <t>SIGNATURE</t>
        </is>
      </c>
      <c r="F37" s="16" t="inlineStr">
        <is>
          <t>BISCUITERIE DE QUINEVILLE</t>
        </is>
      </c>
      <c r="G37" s="16" t="inlineStr">
        <is>
          <t>NORMAND DIRECT TERROIR</t>
        </is>
      </c>
      <c r="H37" s="16" t="inlineStr"/>
      <c r="I37" s="16" t="inlineStr">
        <is>
          <t>200 g</t>
        </is>
      </c>
      <c r="J37" s="16" t="inlineStr">
        <is>
          <t>NON</t>
        </is>
      </c>
      <c r="K37" s="17" t="inlineStr">
        <is>
          <t>20 %</t>
        </is>
      </c>
      <c r="L37" s="18" t="n">
        <v>8.300000000000001</v>
      </c>
      <c r="M37" s="9" t="n">
        <v>18.3</v>
      </c>
      <c r="N37" s="10" t="inlineStr">
        <is>
          <t>PROPOSÉ</t>
        </is>
      </c>
      <c r="O37" s="11">
        <f>IF(M37="","",M37-L37)</f>
        <v/>
      </c>
      <c r="P37" s="12">
        <f>IF(OR(M37="",M37=0),"",(M37-L37)/M37)</f>
        <v/>
      </c>
      <c r="Q37" s="13">
        <f>IF(OR(M37="",L37=0,L37=""),"",M37/L37)</f>
        <v/>
      </c>
      <c r="R37" s="11">
        <f>IF(M37="","",M37*1.2)</f>
        <v/>
      </c>
      <c r="S37" s="14" t="n"/>
      <c r="T37" s="15" t="n"/>
    </row>
    <row r="38">
      <c r="A38" s="6" t="inlineStr">
        <is>
          <t>PROD-0032</t>
        </is>
      </c>
      <c r="B38" s="6" t="inlineStr">
        <is>
          <t>Grignotines amandes noisettes 200 grs</t>
        </is>
      </c>
      <c r="C38" s="6" t="inlineStr">
        <is>
          <t>BISCUITERIE</t>
        </is>
      </c>
      <c r="D38" s="6" t="inlineStr">
        <is>
          <t>BISCUIT</t>
        </is>
      </c>
      <c r="E38" s="6" t="inlineStr">
        <is>
          <t>SIGNATURE</t>
        </is>
      </c>
      <c r="F38" s="6" t="inlineStr">
        <is>
          <t>BISCUITERIE DE QUINEVILLE</t>
        </is>
      </c>
      <c r="G38" s="6" t="inlineStr">
        <is>
          <t>NORMAND DIRECT TERROIR</t>
        </is>
      </c>
      <c r="H38" s="6" t="inlineStr"/>
      <c r="I38" s="6" t="inlineStr">
        <is>
          <t>200 g</t>
        </is>
      </c>
      <c r="J38" s="6" t="inlineStr">
        <is>
          <t>NON</t>
        </is>
      </c>
      <c r="K38" s="7" t="inlineStr">
        <is>
          <t>5.5 %</t>
        </is>
      </c>
      <c r="L38" s="8" t="n">
        <v>7.4</v>
      </c>
      <c r="M38" s="9" t="n">
        <v>17.8</v>
      </c>
      <c r="N38" s="10" t="inlineStr">
        <is>
          <t>PROPOSÉ</t>
        </is>
      </c>
      <c r="O38" s="11">
        <f>IF(M38="","",M38-L38)</f>
        <v/>
      </c>
      <c r="P38" s="12">
        <f>IF(OR(M38="",M38=0),"",(M38-L38)/M38)</f>
        <v/>
      </c>
      <c r="Q38" s="13">
        <f>IF(OR(M38="",L38=0,L38=""),"",M38/L38)</f>
        <v/>
      </c>
      <c r="R38" s="11">
        <f>IF(M38="","",M38*1.055)</f>
        <v/>
      </c>
      <c r="S38" s="14" t="n"/>
      <c r="T38" s="15" t="n"/>
    </row>
    <row r="39">
      <c r="A39" s="16" t="inlineStr">
        <is>
          <t>PROD-0284</t>
        </is>
      </c>
      <c r="B39" s="16" t="inlineStr">
        <is>
          <t>BISCUITS 150g CAEN Mairie</t>
        </is>
      </c>
      <c r="C39" s="16" t="inlineStr">
        <is>
          <t>BISCUITERIE</t>
        </is>
      </c>
      <c r="D39" s="16" t="inlineStr">
        <is>
          <t>BISCUIT</t>
        </is>
      </c>
      <c r="E39" s="16" t="inlineStr">
        <is>
          <t>SIGNATURE</t>
        </is>
      </c>
      <c r="F39" s="16" t="inlineStr">
        <is>
          <t>BALADES NORMANDES</t>
        </is>
      </c>
      <c r="G39" s="16" t="inlineStr">
        <is>
          <t>NORMAND DIRECT TERROIR</t>
        </is>
      </c>
      <c r="H39" s="16" t="inlineStr">
        <is>
          <t>Boîte fer</t>
        </is>
      </c>
      <c r="I39" s="16" t="inlineStr">
        <is>
          <t>150 g</t>
        </is>
      </c>
      <c r="J39" s="16" t="inlineStr">
        <is>
          <t>NON</t>
        </is>
      </c>
      <c r="K39" s="17" t="inlineStr">
        <is>
          <t>5.5 %</t>
        </is>
      </c>
      <c r="L39" s="18" t="n">
        <v>7.31</v>
      </c>
      <c r="M39" s="9" t="n">
        <v>17.5</v>
      </c>
      <c r="N39" s="10" t="inlineStr">
        <is>
          <t>PROPOSÉ</t>
        </is>
      </c>
      <c r="O39" s="11">
        <f>IF(M39="","",M39-L39)</f>
        <v/>
      </c>
      <c r="P39" s="12">
        <f>IF(OR(M39="",M39=0),"",(M39-L39)/M39)</f>
        <v/>
      </c>
      <c r="Q39" s="13">
        <f>IF(OR(M39="",L39=0,L39=""),"",M39/L39)</f>
        <v/>
      </c>
      <c r="R39" s="11">
        <f>IF(M39="","",M39*1.055)</f>
        <v/>
      </c>
      <c r="S39" s="14" t="n"/>
      <c r="T39" s="15" t="n"/>
    </row>
    <row r="40">
      <c r="A40" s="6" t="inlineStr">
        <is>
          <t>PROD-0285</t>
        </is>
      </c>
      <c r="B40" s="6" t="inlineStr">
        <is>
          <t>BISCUITS 150g Ouistreham B-LEC</t>
        </is>
      </c>
      <c r="C40" s="6" t="inlineStr">
        <is>
          <t>BISCUITERIE</t>
        </is>
      </c>
      <c r="D40" s="6" t="inlineStr">
        <is>
          <t>BISCUIT</t>
        </is>
      </c>
      <c r="E40" s="6" t="inlineStr">
        <is>
          <t>SIGNATURE</t>
        </is>
      </c>
      <c r="F40" s="6" t="inlineStr">
        <is>
          <t>BALADES NORMANDES</t>
        </is>
      </c>
      <c r="G40" s="6" t="inlineStr">
        <is>
          <t>NORMAND DIRECT TERROIR</t>
        </is>
      </c>
      <c r="H40" s="6" t="inlineStr">
        <is>
          <t>Boîte fer</t>
        </is>
      </c>
      <c r="I40" s="6" t="inlineStr">
        <is>
          <t>150 g</t>
        </is>
      </c>
      <c r="J40" s="6" t="inlineStr">
        <is>
          <t>NON</t>
        </is>
      </c>
      <c r="K40" s="7" t="inlineStr">
        <is>
          <t>5.5 %</t>
        </is>
      </c>
      <c r="L40" s="8" t="n">
        <v>7.31</v>
      </c>
      <c r="M40" s="9" t="n">
        <v>17.5</v>
      </c>
      <c r="N40" s="10" t="inlineStr">
        <is>
          <t>PROPOSÉ</t>
        </is>
      </c>
      <c r="O40" s="11">
        <f>IF(M40="","",M40-L40)</f>
        <v/>
      </c>
      <c r="P40" s="12">
        <f>IF(OR(M40="",M40=0),"",(M40-L40)/M40)</f>
        <v/>
      </c>
      <c r="Q40" s="13">
        <f>IF(OR(M40="",L40=0,L40=""),"",M40/L40)</f>
        <v/>
      </c>
      <c r="R40" s="11">
        <f>IF(M40="","",M40*1.055)</f>
        <v/>
      </c>
      <c r="S40" s="14" t="n"/>
      <c r="T40" s="15" t="n"/>
    </row>
    <row r="41">
      <c r="A41" s="16" t="inlineStr">
        <is>
          <t>PROD-0286</t>
        </is>
      </c>
      <c r="B41" s="16" t="inlineStr">
        <is>
          <t>BISCUITS 150g Caen Château B-LEC</t>
        </is>
      </c>
      <c r="C41" s="16" t="inlineStr">
        <is>
          <t>BISCUITERIE</t>
        </is>
      </c>
      <c r="D41" s="16" t="inlineStr">
        <is>
          <t>BISCUIT</t>
        </is>
      </c>
      <c r="E41" s="16" t="inlineStr">
        <is>
          <t>SIGNATURE</t>
        </is>
      </c>
      <c r="F41" s="16" t="inlineStr">
        <is>
          <t>BALADES NORMANDES</t>
        </is>
      </c>
      <c r="G41" s="16" t="inlineStr">
        <is>
          <t>NORMAND DIRECT TERROIR</t>
        </is>
      </c>
      <c r="H41" s="16" t="inlineStr">
        <is>
          <t>Boîte fer</t>
        </is>
      </c>
      <c r="I41" s="16" t="inlineStr">
        <is>
          <t>150 g</t>
        </is>
      </c>
      <c r="J41" s="16" t="inlineStr">
        <is>
          <t>NON</t>
        </is>
      </c>
      <c r="K41" s="17" t="inlineStr">
        <is>
          <t>5.5 %</t>
        </is>
      </c>
      <c r="L41" s="18" t="n">
        <v>7.31</v>
      </c>
      <c r="M41" s="9" t="n">
        <v>17.5</v>
      </c>
      <c r="N41" s="10" t="inlineStr">
        <is>
          <t>PROPOSÉ</t>
        </is>
      </c>
      <c r="O41" s="11">
        <f>IF(M41="","",M41-L41)</f>
        <v/>
      </c>
      <c r="P41" s="12">
        <f>IF(OR(M41="",M41=0),"",(M41-L41)/M41)</f>
        <v/>
      </c>
      <c r="Q41" s="13">
        <f>IF(OR(M41="",L41=0,L41=""),"",M41/L41)</f>
        <v/>
      </c>
      <c r="R41" s="11">
        <f>IF(M41="","",M41*1.055)</f>
        <v/>
      </c>
      <c r="S41" s="14" t="n"/>
      <c r="T41" s="15" t="n"/>
    </row>
    <row r="42">
      <c r="A42" s="6" t="inlineStr">
        <is>
          <t>PROD-0287</t>
        </is>
      </c>
      <c r="B42" s="6" t="inlineStr">
        <is>
          <t>BISCUITS 150g Caen cœur de ville Aquarelle</t>
        </is>
      </c>
      <c r="C42" s="6" t="inlineStr">
        <is>
          <t>BISCUITERIE</t>
        </is>
      </c>
      <c r="D42" s="6" t="inlineStr">
        <is>
          <t>BISCUIT</t>
        </is>
      </c>
      <c r="E42" s="6" t="inlineStr">
        <is>
          <t>SIGNATURE</t>
        </is>
      </c>
      <c r="F42" s="6" t="inlineStr">
        <is>
          <t>BALADES NORMANDES</t>
        </is>
      </c>
      <c r="G42" s="6" t="inlineStr">
        <is>
          <t>NORMAND DIRECT TERROIR</t>
        </is>
      </c>
      <c r="H42" s="6" t="inlineStr">
        <is>
          <t>Boîte fer</t>
        </is>
      </c>
      <c r="I42" s="6" t="inlineStr">
        <is>
          <t>150 g</t>
        </is>
      </c>
      <c r="J42" s="6" t="inlineStr">
        <is>
          <t>NON</t>
        </is>
      </c>
      <c r="K42" s="7" t="inlineStr">
        <is>
          <t>5.5 %</t>
        </is>
      </c>
      <c r="L42" s="8" t="n">
        <v>7.31</v>
      </c>
      <c r="M42" s="9" t="n">
        <v>17.5</v>
      </c>
      <c r="N42" s="10" t="inlineStr">
        <is>
          <t>PROPOSÉ</t>
        </is>
      </c>
      <c r="O42" s="11">
        <f>IF(M42="","",M42-L42)</f>
        <v/>
      </c>
      <c r="P42" s="12">
        <f>IF(OR(M42="",M42=0),"",(M42-L42)/M42)</f>
        <v/>
      </c>
      <c r="Q42" s="13">
        <f>IF(OR(M42="",L42=0,L42=""),"",M42/L42)</f>
        <v/>
      </c>
      <c r="R42" s="11">
        <f>IF(M42="","",M42*1.055)</f>
        <v/>
      </c>
      <c r="S42" s="14" t="n"/>
      <c r="T42" s="15" t="n"/>
    </row>
    <row r="43">
      <c r="A43" s="16" t="inlineStr">
        <is>
          <t>PROD-0288</t>
        </is>
      </c>
      <c r="B43" s="16" t="inlineStr">
        <is>
          <t>Biscuits 150g Pays D'Auge Aquarelle</t>
        </is>
      </c>
      <c r="C43" s="16" t="inlineStr">
        <is>
          <t>BISCUITERIE</t>
        </is>
      </c>
      <c r="D43" s="16" t="inlineStr">
        <is>
          <t>BISCUIT</t>
        </is>
      </c>
      <c r="E43" s="16" t="inlineStr">
        <is>
          <t>SIGNATURE</t>
        </is>
      </c>
      <c r="F43" s="16" t="inlineStr">
        <is>
          <t>BALADES NORMANDES</t>
        </is>
      </c>
      <c r="G43" s="16" t="inlineStr">
        <is>
          <t>NORMAND DIRECT TERROIR</t>
        </is>
      </c>
      <c r="H43" s="16" t="inlineStr">
        <is>
          <t>Boîte fer</t>
        </is>
      </c>
      <c r="I43" s="16" t="inlineStr">
        <is>
          <t>150 g</t>
        </is>
      </c>
      <c r="J43" s="16" t="inlineStr">
        <is>
          <t>NON</t>
        </is>
      </c>
      <c r="K43" s="17" t="inlineStr">
        <is>
          <t>5.5 %</t>
        </is>
      </c>
      <c r="L43" s="18" t="n">
        <v>7.31</v>
      </c>
      <c r="M43" s="9" t="n">
        <v>17.5</v>
      </c>
      <c r="N43" s="10" t="inlineStr">
        <is>
          <t>PROPOSÉ</t>
        </is>
      </c>
      <c r="O43" s="11">
        <f>IF(M43="","",M43-L43)</f>
        <v/>
      </c>
      <c r="P43" s="12">
        <f>IF(OR(M43="",M43=0),"",(M43-L43)/M43)</f>
        <v/>
      </c>
      <c r="Q43" s="13">
        <f>IF(OR(M43="",L43=0,L43=""),"",M43/L43)</f>
        <v/>
      </c>
      <c r="R43" s="11">
        <f>IF(M43="","",M43*1.055)</f>
        <v/>
      </c>
      <c r="S43" s="14" t="n"/>
      <c r="T43" s="15" t="n"/>
    </row>
    <row r="44">
      <c r="A44" s="6" t="inlineStr">
        <is>
          <t>PROD-0289</t>
        </is>
      </c>
      <c r="B44" s="6" t="inlineStr">
        <is>
          <t>Biscuits 150g Cambremer Aquarelle</t>
        </is>
      </c>
      <c r="C44" s="6" t="inlineStr">
        <is>
          <t>BISCUITERIE</t>
        </is>
      </c>
      <c r="D44" s="6" t="inlineStr">
        <is>
          <t>BISCUIT</t>
        </is>
      </c>
      <c r="E44" s="6" t="inlineStr">
        <is>
          <t>SIGNATURE</t>
        </is>
      </c>
      <c r="F44" s="6" t="inlineStr">
        <is>
          <t>BALADES NORMANDES</t>
        </is>
      </c>
      <c r="G44" s="6" t="inlineStr">
        <is>
          <t>NORMAND DIRECT TERROIR</t>
        </is>
      </c>
      <c r="H44" s="6" t="inlineStr">
        <is>
          <t>Boîte fer</t>
        </is>
      </c>
      <c r="I44" s="6" t="inlineStr">
        <is>
          <t>150 g</t>
        </is>
      </c>
      <c r="J44" s="6" t="inlineStr">
        <is>
          <t>NON</t>
        </is>
      </c>
      <c r="K44" s="7" t="inlineStr">
        <is>
          <t>5.5 %</t>
        </is>
      </c>
      <c r="L44" s="8" t="n">
        <v>7.31</v>
      </c>
      <c r="M44" s="9" t="n">
        <v>17.5</v>
      </c>
      <c r="N44" s="10" t="inlineStr">
        <is>
          <t>PROPOSÉ</t>
        </is>
      </c>
      <c r="O44" s="11">
        <f>IF(M44="","",M44-L44)</f>
        <v/>
      </c>
      <c r="P44" s="12">
        <f>IF(OR(M44="",M44=0),"",(M44-L44)/M44)</f>
        <v/>
      </c>
      <c r="Q44" s="13">
        <f>IF(OR(M44="",L44=0,L44=""),"",M44/L44)</f>
        <v/>
      </c>
      <c r="R44" s="11">
        <f>IF(M44="","",M44*1.055)</f>
        <v/>
      </c>
      <c r="S44" s="14" t="n"/>
      <c r="T44" s="15" t="n"/>
    </row>
    <row r="45">
      <c r="A45" s="16" t="inlineStr">
        <is>
          <t>PROD-0294</t>
        </is>
      </c>
      <c r="B45" s="16" t="inlineStr">
        <is>
          <t>Biscuits 120g JEEP</t>
        </is>
      </c>
      <c r="C45" s="16" t="inlineStr">
        <is>
          <t>BISCUITERIE</t>
        </is>
      </c>
      <c r="D45" s="16" t="inlineStr">
        <is>
          <t>BISCUIT</t>
        </is>
      </c>
      <c r="E45" s="16" t="inlineStr">
        <is>
          <t>SIGNATURE</t>
        </is>
      </c>
      <c r="F45" s="16" t="inlineStr">
        <is>
          <t>BALADES NORMANDES</t>
        </is>
      </c>
      <c r="G45" s="16" t="inlineStr">
        <is>
          <t>NORMAND DIRECT TERROIR</t>
        </is>
      </c>
      <c r="H45" s="16" t="inlineStr">
        <is>
          <t>D-DAY Boîte métal</t>
        </is>
      </c>
      <c r="I45" s="16" t="inlineStr">
        <is>
          <t>120 g</t>
        </is>
      </c>
      <c r="J45" s="16" t="inlineStr">
        <is>
          <t>NON</t>
        </is>
      </c>
      <c r="K45" s="17" t="inlineStr">
        <is>
          <t>20 %</t>
        </is>
      </c>
      <c r="L45" s="18" t="n">
        <v>7.31</v>
      </c>
      <c r="M45" s="9" t="n">
        <v>17.5</v>
      </c>
      <c r="N45" s="10" t="inlineStr">
        <is>
          <t>PROPOSÉ</t>
        </is>
      </c>
      <c r="O45" s="11">
        <f>IF(M45="","",M45-L45)</f>
        <v/>
      </c>
      <c r="P45" s="12">
        <f>IF(OR(M45="",M45=0),"",(M45-L45)/M45)</f>
        <v/>
      </c>
      <c r="Q45" s="13">
        <f>IF(OR(M45="",L45=0,L45=""),"",M45/L45)</f>
        <v/>
      </c>
      <c r="R45" s="11">
        <f>IF(M45="","",M45*1.2)</f>
        <v/>
      </c>
      <c r="S45" s="14" t="n"/>
      <c r="T45" s="15" t="n"/>
    </row>
    <row r="46">
      <c r="A46" s="6" t="inlineStr">
        <is>
          <t>PROD-0295</t>
        </is>
      </c>
      <c r="B46" s="6" t="inlineStr">
        <is>
          <t>Biscuits 120g Barge</t>
        </is>
      </c>
      <c r="C46" s="6" t="inlineStr">
        <is>
          <t>BISCUITERIE</t>
        </is>
      </c>
      <c r="D46" s="6" t="inlineStr">
        <is>
          <t>BISCUIT</t>
        </is>
      </c>
      <c r="E46" s="6" t="inlineStr">
        <is>
          <t>SIGNATURE</t>
        </is>
      </c>
      <c r="F46" s="6" t="inlineStr">
        <is>
          <t>BALADES NORMANDES</t>
        </is>
      </c>
      <c r="G46" s="6" t="inlineStr">
        <is>
          <t>NORMAND DIRECT TERROIR</t>
        </is>
      </c>
      <c r="H46" s="6" t="inlineStr">
        <is>
          <t>D-DAY Boîte métal</t>
        </is>
      </c>
      <c r="I46" s="6" t="inlineStr">
        <is>
          <t>120 g</t>
        </is>
      </c>
      <c r="J46" s="6" t="inlineStr">
        <is>
          <t>NON</t>
        </is>
      </c>
      <c r="K46" s="7" t="inlineStr">
        <is>
          <t>20 %</t>
        </is>
      </c>
      <c r="L46" s="8" t="n">
        <v>7.31</v>
      </c>
      <c r="M46" s="9" t="n">
        <v>17.5</v>
      </c>
      <c r="N46" s="10" t="inlineStr">
        <is>
          <t>PROPOSÉ</t>
        </is>
      </c>
      <c r="O46" s="11">
        <f>IF(M46="","",M46-L46)</f>
        <v/>
      </c>
      <c r="P46" s="12">
        <f>IF(OR(M46="",M46=0),"",(M46-L46)/M46)</f>
        <v/>
      </c>
      <c r="Q46" s="13">
        <f>IF(OR(M46="",L46=0,L46=""),"",M46/L46)</f>
        <v/>
      </c>
      <c r="R46" s="11">
        <f>IF(M46="","",M46*1.2)</f>
        <v/>
      </c>
      <c r="S46" s="14" t="n"/>
      <c r="T46" s="15" t="n"/>
    </row>
    <row r="47">
      <c r="A47" s="16" t="inlineStr">
        <is>
          <t>PROD-0031</t>
        </is>
      </c>
      <c r="B47" s="16" t="inlineStr">
        <is>
          <t>Batonnet feuilleté noir 200 grs</t>
        </is>
      </c>
      <c r="C47" s="16" t="inlineStr">
        <is>
          <t>BISCUITERIE</t>
        </is>
      </c>
      <c r="D47" s="16" t="inlineStr">
        <is>
          <t>BISCUIT</t>
        </is>
      </c>
      <c r="E47" s="16" t="inlineStr">
        <is>
          <t>SIGNATURE</t>
        </is>
      </c>
      <c r="F47" s="16" t="inlineStr">
        <is>
          <t>BISCUITERIE DE QUINEVILLE</t>
        </is>
      </c>
      <c r="G47" s="16" t="inlineStr">
        <is>
          <t>NORMAND DIRECT TERROIR</t>
        </is>
      </c>
      <c r="H47" s="16" t="inlineStr"/>
      <c r="I47" s="16" t="inlineStr">
        <is>
          <t>200 g</t>
        </is>
      </c>
      <c r="J47" s="16" t="inlineStr">
        <is>
          <t>NON</t>
        </is>
      </c>
      <c r="K47" s="17" t="inlineStr">
        <is>
          <t>5.5 %</t>
        </is>
      </c>
      <c r="L47" s="18" t="n">
        <v>6.95</v>
      </c>
      <c r="M47" s="9" t="n">
        <v>16.7</v>
      </c>
      <c r="N47" s="10" t="inlineStr">
        <is>
          <t>PROPOSÉ</t>
        </is>
      </c>
      <c r="O47" s="11">
        <f>IF(M47="","",M47-L47)</f>
        <v/>
      </c>
      <c r="P47" s="12">
        <f>IF(OR(M47="",M47=0),"",(M47-L47)/M47)</f>
        <v/>
      </c>
      <c r="Q47" s="13">
        <f>IF(OR(M47="",L47=0,L47=""),"",M47/L47)</f>
        <v/>
      </c>
      <c r="R47" s="11">
        <f>IF(M47="","",M47*1.055)</f>
        <v/>
      </c>
      <c r="S47" s="14" t="n"/>
      <c r="T47" s="15" t="n"/>
    </row>
    <row r="48">
      <c r="A48" s="6" t="inlineStr">
        <is>
          <t>PROD-0027</t>
        </is>
      </c>
      <c r="B48" s="6" t="inlineStr">
        <is>
          <t>Tuiles chocolat noir 150gr</t>
        </is>
      </c>
      <c r="C48" s="6" t="inlineStr">
        <is>
          <t>BISCUITERIE</t>
        </is>
      </c>
      <c r="D48" s="6" t="inlineStr">
        <is>
          <t>BISCUIT</t>
        </is>
      </c>
      <c r="E48" s="6" t="inlineStr">
        <is>
          <t>SIGNATURE</t>
        </is>
      </c>
      <c r="F48" s="6" t="inlineStr">
        <is>
          <t>BISCUITERIE DE QUINEVILLE</t>
        </is>
      </c>
      <c r="G48" s="6" t="inlineStr">
        <is>
          <t>NORMAND DIRECT TERROIR</t>
        </is>
      </c>
      <c r="H48" s="6" t="inlineStr"/>
      <c r="I48" s="6" t="inlineStr">
        <is>
          <t>150 g</t>
        </is>
      </c>
      <c r="J48" s="6" t="inlineStr">
        <is>
          <t>NON</t>
        </is>
      </c>
      <c r="K48" s="7" t="inlineStr">
        <is>
          <t>5.5 %</t>
        </is>
      </c>
      <c r="L48" s="8" t="n">
        <v>6.6</v>
      </c>
      <c r="M48" s="9" t="n">
        <v>15.8</v>
      </c>
      <c r="N48" s="10" t="inlineStr">
        <is>
          <t>PROPOSÉ</t>
        </is>
      </c>
      <c r="O48" s="11">
        <f>IF(M48="","",M48-L48)</f>
        <v/>
      </c>
      <c r="P48" s="12">
        <f>IF(OR(M48="",M48=0),"",(M48-L48)/M48)</f>
        <v/>
      </c>
      <c r="Q48" s="13">
        <f>IF(OR(M48="",L48=0,L48=""),"",M48/L48)</f>
        <v/>
      </c>
      <c r="R48" s="11">
        <f>IF(M48="","",M48*1.055)</f>
        <v/>
      </c>
      <c r="S48" s="14" t="n"/>
      <c r="T48" s="15" t="n"/>
    </row>
    <row r="49">
      <c r="A49" s="16" t="inlineStr">
        <is>
          <t>PROD-0028</t>
        </is>
      </c>
      <c r="B49" s="16" t="inlineStr">
        <is>
          <t>Tuiles chocolat lacté 150gr</t>
        </is>
      </c>
      <c r="C49" s="16" t="inlineStr">
        <is>
          <t>BISCUITERIE</t>
        </is>
      </c>
      <c r="D49" s="16" t="inlineStr">
        <is>
          <t>BISCUIT</t>
        </is>
      </c>
      <c r="E49" s="16" t="inlineStr">
        <is>
          <t>SIGNATURE</t>
        </is>
      </c>
      <c r="F49" s="16" t="inlineStr">
        <is>
          <t>BISCUITERIE DE QUINEVILLE</t>
        </is>
      </c>
      <c r="G49" s="16" t="inlineStr">
        <is>
          <t>NORMAND DIRECT TERROIR</t>
        </is>
      </c>
      <c r="H49" s="16" t="inlineStr"/>
      <c r="I49" s="16" t="inlineStr">
        <is>
          <t>150 g</t>
        </is>
      </c>
      <c r="J49" s="16" t="inlineStr">
        <is>
          <t>NON</t>
        </is>
      </c>
      <c r="K49" s="17" t="inlineStr">
        <is>
          <t>20 %</t>
        </is>
      </c>
      <c r="L49" s="18" t="n">
        <v>6.6</v>
      </c>
      <c r="M49" s="9" t="n">
        <v>15.8</v>
      </c>
      <c r="N49" s="10" t="inlineStr">
        <is>
          <t>PROPOSÉ</t>
        </is>
      </c>
      <c r="O49" s="11">
        <f>IF(M49="","",M49-L49)</f>
        <v/>
      </c>
      <c r="P49" s="12">
        <f>IF(OR(M49="",M49=0),"",(M49-L49)/M49)</f>
        <v/>
      </c>
      <c r="Q49" s="13">
        <f>IF(OR(M49="",L49=0,L49=""),"",M49/L49)</f>
        <v/>
      </c>
      <c r="R49" s="11">
        <f>IF(M49="","",M49*1.2)</f>
        <v/>
      </c>
      <c r="S49" s="14" t="n"/>
      <c r="T49" s="15" t="n"/>
    </row>
    <row r="50">
      <c r="A50" s="6" t="inlineStr">
        <is>
          <t>PROD-0004</t>
        </is>
      </c>
      <c r="B50" s="6" t="inlineStr">
        <is>
          <t>Biscuits assortiment 250 grs</t>
        </is>
      </c>
      <c r="C50" s="6" t="inlineStr">
        <is>
          <t>BISCUITERIE</t>
        </is>
      </c>
      <c r="D50" s="6" t="inlineStr">
        <is>
          <t>BISCUIT</t>
        </is>
      </c>
      <c r="E50" s="6" t="inlineStr">
        <is>
          <t>SIGNATURE</t>
        </is>
      </c>
      <c r="F50" s="6" t="inlineStr">
        <is>
          <t>BISCUITERIE DE QUINEVILLE</t>
        </is>
      </c>
      <c r="G50" s="6" t="inlineStr">
        <is>
          <t>NORMAND DIRECT TERROIR</t>
        </is>
      </c>
      <c r="H50" s="6" t="inlineStr"/>
      <c r="I50" s="6" t="inlineStr">
        <is>
          <t>250 g</t>
        </is>
      </c>
      <c r="J50" s="6" t="inlineStr">
        <is>
          <t>NON</t>
        </is>
      </c>
      <c r="K50" s="7" t="inlineStr">
        <is>
          <t>5.5 %</t>
        </is>
      </c>
      <c r="L50" s="8" t="n">
        <v>5.9</v>
      </c>
      <c r="M50" s="9" t="n">
        <v>14.2</v>
      </c>
      <c r="N50" s="10" t="inlineStr">
        <is>
          <t>PROPOSÉ</t>
        </is>
      </c>
      <c r="O50" s="11">
        <f>IF(M50="","",M50-L50)</f>
        <v/>
      </c>
      <c r="P50" s="12">
        <f>IF(OR(M50="",M50=0),"",(M50-L50)/M50)</f>
        <v/>
      </c>
      <c r="Q50" s="13">
        <f>IF(OR(M50="",L50=0,L50=""),"",M50/L50)</f>
        <v/>
      </c>
      <c r="R50" s="11">
        <f>IF(M50="","",M50*1.055)</f>
        <v/>
      </c>
      <c r="S50" s="14" t="n"/>
      <c r="T50" s="15" t="n"/>
    </row>
    <row r="51">
      <c r="A51" s="16" t="inlineStr">
        <is>
          <t>PROD-0662</t>
        </is>
      </c>
      <c r="B51" s="16" t="inlineStr">
        <is>
          <t>Cidre Tonique</t>
        </is>
      </c>
      <c r="C51" s="16" t="inlineStr">
        <is>
          <t>BOISSON_ALCOOLISEE</t>
        </is>
      </c>
      <c r="D51" s="16" t="inlineStr">
        <is>
          <t>CIDRE</t>
        </is>
      </c>
      <c r="E51" s="16" t="inlineStr">
        <is>
          <t>ESSENTIEL</t>
        </is>
      </c>
      <c r="F51" s="16" t="inlineStr">
        <is>
          <t>SARL DOMAINE DE BILLY</t>
        </is>
      </c>
      <c r="G51" s="16" t="inlineStr">
        <is>
          <t>SARL DOMAINE DE BILLY</t>
        </is>
      </c>
      <c r="H51" s="16" t="inlineStr">
        <is>
          <t>75cl</t>
        </is>
      </c>
      <c r="I51" s="16" t="inlineStr">
        <is>
          <t>750 ml</t>
        </is>
      </c>
      <c r="J51" s="16" t="inlineStr">
        <is>
          <t>OUI</t>
        </is>
      </c>
      <c r="K51" s="20" t="inlineStr">
        <is>
          <t>À CONFIRMER</t>
        </is>
      </c>
      <c r="L51" s="18" t="n">
        <v>4.5</v>
      </c>
      <c r="M51" s="9" t="n">
        <v>8.800000000000001</v>
      </c>
      <c r="N51" s="10" t="inlineStr">
        <is>
          <t>PROPOSÉ</t>
        </is>
      </c>
      <c r="O51" s="11">
        <f>IF(M51="","",M51-L51)</f>
        <v/>
      </c>
      <c r="P51" s="12">
        <f>IF(OR(M51="",M51=0),"",(M51-L51)/M51)</f>
        <v/>
      </c>
      <c r="Q51" s="13">
        <f>IF(OR(M51="",L51=0,L51=""),"",M51/L51)</f>
        <v/>
      </c>
      <c r="R51" s="11">
        <f>IF(M51="","","TVA à confirmer")</f>
        <v/>
      </c>
      <c r="S51" s="14" t="n"/>
      <c r="T51" s="15" t="n"/>
    </row>
    <row r="52">
      <c r="A52" s="6" t="inlineStr">
        <is>
          <t>PROD-0670</t>
        </is>
      </c>
      <c r="B52" s="6" t="inlineStr">
        <is>
          <t>Poiré</t>
        </is>
      </c>
      <c r="C52" s="6" t="inlineStr">
        <is>
          <t>BOISSON_ALCOOLISEE</t>
        </is>
      </c>
      <c r="D52" s="6" t="inlineStr">
        <is>
          <t>POIRE</t>
        </is>
      </c>
      <c r="E52" s="6" t="inlineStr">
        <is>
          <t>ESSENTIEL</t>
        </is>
      </c>
      <c r="F52" s="6" t="inlineStr">
        <is>
          <t>SARL DOMAINE DE BILLY</t>
        </is>
      </c>
      <c r="G52" s="6" t="inlineStr">
        <is>
          <t>SARL DOMAINE DE BILLY</t>
        </is>
      </c>
      <c r="H52" s="6" t="inlineStr">
        <is>
          <t>75 cl</t>
        </is>
      </c>
      <c r="I52" s="6" t="inlineStr">
        <is>
          <t>750 ml</t>
        </is>
      </c>
      <c r="J52" s="6" t="inlineStr">
        <is>
          <t>OUI</t>
        </is>
      </c>
      <c r="K52" s="19" t="inlineStr">
        <is>
          <t>À CONFIRMER</t>
        </is>
      </c>
      <c r="L52" s="8" t="n">
        <v>4.45</v>
      </c>
      <c r="M52" s="9" t="n">
        <v>8.699999999999999</v>
      </c>
      <c r="N52" s="10" t="inlineStr">
        <is>
          <t>PROPOSÉ</t>
        </is>
      </c>
      <c r="O52" s="11">
        <f>IF(M52="","",M52-L52)</f>
        <v/>
      </c>
      <c r="P52" s="12">
        <f>IF(OR(M52="",M52=0),"",(M52-L52)/M52)</f>
        <v/>
      </c>
      <c r="Q52" s="13">
        <f>IF(OR(M52="",L52=0,L52=""),"",M52/L52)</f>
        <v/>
      </c>
      <c r="R52" s="11">
        <f>IF(M52="","","TVA à confirmer")</f>
        <v/>
      </c>
      <c r="S52" s="14" t="n"/>
      <c r="T52" s="15" t="n"/>
    </row>
    <row r="53">
      <c r="A53" s="16" t="inlineStr">
        <is>
          <t>PROD-0663</t>
        </is>
      </c>
      <c r="B53" s="16" t="inlineStr">
        <is>
          <t>Cidre Sauvage</t>
        </is>
      </c>
      <c r="C53" s="16" t="inlineStr">
        <is>
          <t>BOISSON_ALCOOLISEE</t>
        </is>
      </c>
      <c r="D53" s="16" t="inlineStr">
        <is>
          <t>CIDRE</t>
        </is>
      </c>
      <c r="E53" s="16" t="inlineStr">
        <is>
          <t>ESSENTIEL</t>
        </is>
      </c>
      <c r="F53" s="16" t="inlineStr">
        <is>
          <t>SARL DOMAINE DE BILLY</t>
        </is>
      </c>
      <c r="G53" s="16" t="inlineStr">
        <is>
          <t>SARL DOMAINE DE BILLY</t>
        </is>
      </c>
      <c r="H53" s="16" t="inlineStr">
        <is>
          <t>75cl</t>
        </is>
      </c>
      <c r="I53" s="16" t="inlineStr">
        <is>
          <t>750 ml</t>
        </is>
      </c>
      <c r="J53" s="16" t="inlineStr">
        <is>
          <t>OUI</t>
        </is>
      </c>
      <c r="K53" s="20" t="inlineStr">
        <is>
          <t>À CONFIRMER</t>
        </is>
      </c>
      <c r="L53" s="18" t="n">
        <v>4.4</v>
      </c>
      <c r="M53" s="9" t="n">
        <v>8.6</v>
      </c>
      <c r="N53" s="10" t="inlineStr">
        <is>
          <t>PROPOSÉ</t>
        </is>
      </c>
      <c r="O53" s="11">
        <f>IF(M53="","",M53-L53)</f>
        <v/>
      </c>
      <c r="P53" s="12">
        <f>IF(OR(M53="",M53=0),"",(M53-L53)/M53)</f>
        <v/>
      </c>
      <c r="Q53" s="13">
        <f>IF(OR(M53="",L53=0,L53=""),"",M53/L53)</f>
        <v/>
      </c>
      <c r="R53" s="11">
        <f>IF(M53="","","TVA à confirmer")</f>
        <v/>
      </c>
      <c r="S53" s="14" t="n"/>
      <c r="T53" s="15" t="n"/>
    </row>
    <row r="54">
      <c r="A54" s="6" t="inlineStr">
        <is>
          <t>PROD-0354</t>
        </is>
      </c>
      <c r="B54" s="6" t="inlineStr">
        <is>
          <t>Cidre Cotentin demi-sec 75 cl</t>
        </is>
      </c>
      <c r="C54" s="6" t="inlineStr">
        <is>
          <t>BOISSON_ALCOOLISEE</t>
        </is>
      </c>
      <c r="D54" s="6" t="inlineStr">
        <is>
          <t>CIDRE</t>
        </is>
      </c>
      <c r="E54" s="6" t="inlineStr">
        <is>
          <t>ESSENTIEL</t>
        </is>
      </c>
      <c r="F54" s="6" t="inlineStr">
        <is>
          <t>GAEC DE CLAIDS</t>
        </is>
      </c>
      <c r="G54" s="6" t="inlineStr">
        <is>
          <t>NORMAND DIRECT TERROIR</t>
        </is>
      </c>
      <c r="H54" s="6" t="inlineStr"/>
      <c r="I54" s="6" t="inlineStr">
        <is>
          <t>750 ml</t>
        </is>
      </c>
      <c r="J54" s="6" t="inlineStr">
        <is>
          <t>OUI</t>
        </is>
      </c>
      <c r="K54" s="7" t="inlineStr">
        <is>
          <t>20 %</t>
        </is>
      </c>
      <c r="L54" s="8" t="n">
        <v>4.32</v>
      </c>
      <c r="M54" s="9" t="n">
        <v>8.4</v>
      </c>
      <c r="N54" s="10" t="inlineStr">
        <is>
          <t>PROPOSÉ</t>
        </is>
      </c>
      <c r="O54" s="11">
        <f>IF(M54="","",M54-L54)</f>
        <v/>
      </c>
      <c r="P54" s="12">
        <f>IF(OR(M54="",M54=0),"",(M54-L54)/M54)</f>
        <v/>
      </c>
      <c r="Q54" s="13">
        <f>IF(OR(M54="",L54=0,L54=""),"",M54/L54)</f>
        <v/>
      </c>
      <c r="R54" s="11">
        <f>IF(M54="","",M54*1.2)</f>
        <v/>
      </c>
      <c r="S54" s="14" t="n"/>
      <c r="T54" s="15" t="n"/>
    </row>
    <row r="55">
      <c r="A55" s="16" t="inlineStr">
        <is>
          <t>PROD-0316</t>
        </is>
      </c>
      <c r="B55" s="16" t="inlineStr">
        <is>
          <t>Cidre bio cuvée gourmande demi sec 75 cl</t>
        </is>
      </c>
      <c r="C55" s="16" t="inlineStr">
        <is>
          <t>BOISSON_ALCOOLISEE</t>
        </is>
      </c>
      <c r="D55" s="16" t="inlineStr">
        <is>
          <t>CIDRE</t>
        </is>
      </c>
      <c r="E55" s="16" t="inlineStr">
        <is>
          <t>ESSENTIEL</t>
        </is>
      </c>
      <c r="F55" s="16" t="inlineStr">
        <is>
          <t>MAISON HEROUT</t>
        </is>
      </c>
      <c r="G55" s="16" t="inlineStr">
        <is>
          <t>NORMAND DIRECT TERROIR</t>
        </is>
      </c>
      <c r="H55" s="16" t="inlineStr"/>
      <c r="I55" s="16" t="inlineStr">
        <is>
          <t>750 ml</t>
        </is>
      </c>
      <c r="J55" s="16" t="inlineStr">
        <is>
          <t>OUI</t>
        </is>
      </c>
      <c r="K55" s="17" t="inlineStr">
        <is>
          <t>20 %</t>
        </is>
      </c>
      <c r="L55" s="18" t="n">
        <v>4.29</v>
      </c>
      <c r="M55" s="9" t="n">
        <v>8.4</v>
      </c>
      <c r="N55" s="10" t="inlineStr">
        <is>
          <t>PROPOSÉ</t>
        </is>
      </c>
      <c r="O55" s="11">
        <f>IF(M55="","",M55-L55)</f>
        <v/>
      </c>
      <c r="P55" s="12">
        <f>IF(OR(M55="",M55=0),"",(M55-L55)/M55)</f>
        <v/>
      </c>
      <c r="Q55" s="13">
        <f>IF(OR(M55="",L55=0,L55=""),"",M55/L55)</f>
        <v/>
      </c>
      <c r="R55" s="11">
        <f>IF(M55="","",M55*1.2)</f>
        <v/>
      </c>
      <c r="S55" s="14" t="n"/>
      <c r="T55" s="15" t="n"/>
    </row>
    <row r="56">
      <c r="A56" s="6" t="inlineStr">
        <is>
          <t>PROD-0324</t>
        </is>
      </c>
      <c r="B56" s="6" t="inlineStr">
        <is>
          <t>Amour d'Hérout brut 75 cl cidre IGP</t>
        </is>
      </c>
      <c r="C56" s="6" t="inlineStr">
        <is>
          <t>BOISSON_ALCOOLISEE</t>
        </is>
      </c>
      <c r="D56" s="6" t="inlineStr">
        <is>
          <t>CIDRE</t>
        </is>
      </c>
      <c r="E56" s="6" t="inlineStr">
        <is>
          <t>ESSENTIEL</t>
        </is>
      </c>
      <c r="F56" s="6" t="inlineStr">
        <is>
          <t>MAISON HEROUT</t>
        </is>
      </c>
      <c r="G56" s="6" t="inlineStr">
        <is>
          <t>NORMAND DIRECT TERROIR</t>
        </is>
      </c>
      <c r="H56" s="6" t="inlineStr"/>
      <c r="I56" s="6" t="inlineStr">
        <is>
          <t>750 ml</t>
        </is>
      </c>
      <c r="J56" s="6" t="inlineStr">
        <is>
          <t>OUI</t>
        </is>
      </c>
      <c r="K56" s="7" t="inlineStr">
        <is>
          <t>20 %</t>
        </is>
      </c>
      <c r="L56" s="8" t="n">
        <v>3.85</v>
      </c>
      <c r="M56" s="9" t="n">
        <v>7.5</v>
      </c>
      <c r="N56" s="10" t="inlineStr">
        <is>
          <t>PROPOSÉ</t>
        </is>
      </c>
      <c r="O56" s="11">
        <f>IF(M56="","",M56-L56)</f>
        <v/>
      </c>
      <c r="P56" s="12">
        <f>IF(OR(M56="",M56=0),"",(M56-L56)/M56)</f>
        <v/>
      </c>
      <c r="Q56" s="13">
        <f>IF(OR(M56="",L56=0,L56=""),"",M56/L56)</f>
        <v/>
      </c>
      <c r="R56" s="11">
        <f>IF(M56="","",M56*1.2)</f>
        <v/>
      </c>
      <c r="S56" s="14" t="n"/>
      <c r="T56" s="15" t="n"/>
    </row>
    <row r="57">
      <c r="A57" s="16" t="inlineStr">
        <is>
          <t>PROD-0350</t>
        </is>
      </c>
      <c r="B57" s="16" t="inlineStr">
        <is>
          <t>Cidre Cotentin extra brut 75 cl</t>
        </is>
      </c>
      <c r="C57" s="16" t="inlineStr">
        <is>
          <t>BOISSON_ALCOOLISEE</t>
        </is>
      </c>
      <c r="D57" s="16" t="inlineStr">
        <is>
          <t>CIDRE</t>
        </is>
      </c>
      <c r="E57" s="16" t="inlineStr">
        <is>
          <t>ESSENTIEL</t>
        </is>
      </c>
      <c r="F57" s="16" t="inlineStr">
        <is>
          <t>GAEC DE CLAIDS</t>
        </is>
      </c>
      <c r="G57" s="16" t="inlineStr">
        <is>
          <t>NORMAND DIRECT TERROIR</t>
        </is>
      </c>
      <c r="H57" s="16" t="inlineStr"/>
      <c r="I57" s="16" t="inlineStr">
        <is>
          <t>750 ml</t>
        </is>
      </c>
      <c r="J57" s="16" t="inlineStr">
        <is>
          <t>OUI</t>
        </is>
      </c>
      <c r="K57" s="17" t="inlineStr">
        <is>
          <t>20 %</t>
        </is>
      </c>
      <c r="L57" s="18" t="n">
        <v>3.8</v>
      </c>
      <c r="M57" s="9" t="n">
        <v>7.4</v>
      </c>
      <c r="N57" s="10" t="inlineStr">
        <is>
          <t>PROPOSÉ</t>
        </is>
      </c>
      <c r="O57" s="11">
        <f>IF(M57="","",M57-L57)</f>
        <v/>
      </c>
      <c r="P57" s="12">
        <f>IF(OR(M57="",M57=0),"",(M57-L57)/M57)</f>
        <v/>
      </c>
      <c r="Q57" s="13">
        <f>IF(OR(M57="",L57=0,L57=""),"",M57/L57)</f>
        <v/>
      </c>
      <c r="R57" s="11">
        <f>IF(M57="","",M57*1.2)</f>
        <v/>
      </c>
      <c r="S57" s="14" t="n"/>
      <c r="T57" s="15" t="n"/>
    </row>
    <row r="58">
      <c r="A58" s="6" t="inlineStr">
        <is>
          <t>PROD-0352</t>
        </is>
      </c>
      <c r="B58" s="6" t="inlineStr">
        <is>
          <t>Cidre Cotentin brut 75 cl</t>
        </is>
      </c>
      <c r="C58" s="6" t="inlineStr">
        <is>
          <t>BOISSON_ALCOOLISEE</t>
        </is>
      </c>
      <c r="D58" s="6" t="inlineStr">
        <is>
          <t>CIDRE</t>
        </is>
      </c>
      <c r="E58" s="6" t="inlineStr">
        <is>
          <t>ESSENTIEL</t>
        </is>
      </c>
      <c r="F58" s="6" t="inlineStr">
        <is>
          <t>GAEC DE CLAIDS</t>
        </is>
      </c>
      <c r="G58" s="6" t="inlineStr">
        <is>
          <t>NORMAND DIRECT TERROIR</t>
        </is>
      </c>
      <c r="H58" s="6" t="inlineStr"/>
      <c r="I58" s="6" t="inlineStr">
        <is>
          <t>750 ml</t>
        </is>
      </c>
      <c r="J58" s="6" t="inlineStr">
        <is>
          <t>OUI</t>
        </is>
      </c>
      <c r="K58" s="7" t="inlineStr">
        <is>
          <t>20 %</t>
        </is>
      </c>
      <c r="L58" s="8" t="n">
        <v>3.8</v>
      </c>
      <c r="M58" s="9" t="n">
        <v>7.4</v>
      </c>
      <c r="N58" s="10" t="inlineStr">
        <is>
          <t>PROPOSÉ</t>
        </is>
      </c>
      <c r="O58" s="11">
        <f>IF(M58="","",M58-L58)</f>
        <v/>
      </c>
      <c r="P58" s="12">
        <f>IF(OR(M58="",M58=0),"",(M58-L58)/M58)</f>
        <v/>
      </c>
      <c r="Q58" s="13">
        <f>IF(OR(M58="",L58=0,L58=""),"",M58/L58)</f>
        <v/>
      </c>
      <c r="R58" s="11">
        <f>IF(M58="","",M58*1.2)</f>
        <v/>
      </c>
      <c r="S58" s="14" t="n"/>
      <c r="T58" s="15" t="n"/>
    </row>
    <row r="59">
      <c r="A59" s="16" t="inlineStr">
        <is>
          <t>PROD-0382</t>
        </is>
      </c>
      <c r="B59" s="16" t="inlineStr">
        <is>
          <t>Bière triple 75 cl / 9 Triple à la mode de Caen</t>
        </is>
      </c>
      <c r="C59" s="16" t="inlineStr">
        <is>
          <t>BOISSON_ALCOOLISEE</t>
        </is>
      </c>
      <c r="D59" s="16" t="inlineStr">
        <is>
          <t>BIERE</t>
        </is>
      </c>
      <c r="E59" s="16" t="inlineStr">
        <is>
          <t>ESSENTIEL</t>
        </is>
      </c>
      <c r="F59" s="16" t="inlineStr">
        <is>
          <t>BRASSERIE LA LIE</t>
        </is>
      </c>
      <c r="G59" s="16" t="inlineStr">
        <is>
          <t>NORMAND DIRECT TERROIR</t>
        </is>
      </c>
      <c r="H59" s="16" t="inlineStr"/>
      <c r="I59" s="16" t="inlineStr">
        <is>
          <t>750 ml</t>
        </is>
      </c>
      <c r="J59" s="16" t="inlineStr">
        <is>
          <t>OUI</t>
        </is>
      </c>
      <c r="K59" s="17" t="inlineStr">
        <is>
          <t>20 %</t>
        </is>
      </c>
      <c r="L59" s="18" t="n">
        <v>3.8</v>
      </c>
      <c r="M59" s="9" t="n">
        <v>7.4</v>
      </c>
      <c r="N59" s="10" t="inlineStr">
        <is>
          <t>PROPOSÉ</t>
        </is>
      </c>
      <c r="O59" s="11">
        <f>IF(M59="","",M59-L59)</f>
        <v/>
      </c>
      <c r="P59" s="12">
        <f>IF(OR(M59="",M59=0),"",(M59-L59)/M59)</f>
        <v/>
      </c>
      <c r="Q59" s="13">
        <f>IF(OR(M59="",L59=0,L59=""),"",M59/L59)</f>
        <v/>
      </c>
      <c r="R59" s="11">
        <f>IF(M59="","",M59*1.2)</f>
        <v/>
      </c>
      <c r="S59" s="14" t="n"/>
      <c r="T59" s="15" t="n"/>
    </row>
    <row r="60">
      <c r="A60" s="6" t="inlineStr">
        <is>
          <t>PROD-0661</t>
        </is>
      </c>
      <c r="B60" s="6" t="inlineStr">
        <is>
          <t>Cidre Fraîcheur</t>
        </is>
      </c>
      <c r="C60" s="6" t="inlineStr">
        <is>
          <t>BOISSON_ALCOOLISEE</t>
        </is>
      </c>
      <c r="D60" s="6" t="inlineStr">
        <is>
          <t>CIDRE</t>
        </is>
      </c>
      <c r="E60" s="6" t="inlineStr">
        <is>
          <t>ESSENTIEL</t>
        </is>
      </c>
      <c r="F60" s="6" t="inlineStr">
        <is>
          <t>SARL DOMAINE DE BILLY</t>
        </is>
      </c>
      <c r="G60" s="6" t="inlineStr">
        <is>
          <t>SARL DOMAINE DE BILLY</t>
        </is>
      </c>
      <c r="H60" s="6" t="inlineStr">
        <is>
          <t>75cl</t>
        </is>
      </c>
      <c r="I60" s="6" t="inlineStr">
        <is>
          <t>750 ml</t>
        </is>
      </c>
      <c r="J60" s="6" t="inlineStr">
        <is>
          <t>OUI</t>
        </is>
      </c>
      <c r="K60" s="19" t="inlineStr">
        <is>
          <t>À CONFIRMER</t>
        </is>
      </c>
      <c r="L60" s="8" t="n">
        <v>3.65</v>
      </c>
      <c r="M60" s="9" t="n">
        <v>7.1</v>
      </c>
      <c r="N60" s="10" t="inlineStr">
        <is>
          <t>PROPOSÉ</t>
        </is>
      </c>
      <c r="O60" s="11">
        <f>IF(M60="","",M60-L60)</f>
        <v/>
      </c>
      <c r="P60" s="12">
        <f>IF(OR(M60="",M60=0),"",(M60-L60)/M60)</f>
        <v/>
      </c>
      <c r="Q60" s="13">
        <f>IF(OR(M60="",L60=0,L60=""),"",M60/L60)</f>
        <v/>
      </c>
      <c r="R60" s="11">
        <f>IF(M60="","","TVA à confirmer")</f>
        <v/>
      </c>
      <c r="S60" s="14" t="n"/>
      <c r="T60" s="15" t="n"/>
    </row>
    <row r="61">
      <c r="A61" s="16" t="inlineStr">
        <is>
          <t>PROD-0374</t>
        </is>
      </c>
      <c r="B61" s="16" t="inlineStr">
        <is>
          <t>Bière blonde 75 cl / 9 Au prés de ma blonde</t>
        </is>
      </c>
      <c r="C61" s="16" t="inlineStr">
        <is>
          <t>BOISSON_ALCOOLISEE</t>
        </is>
      </c>
      <c r="D61" s="16" t="inlineStr">
        <is>
          <t>BIERE</t>
        </is>
      </c>
      <c r="E61" s="16" t="inlineStr">
        <is>
          <t>ESSENTIEL</t>
        </is>
      </c>
      <c r="F61" s="16" t="inlineStr">
        <is>
          <t>BRASSERIE LA LIE</t>
        </is>
      </c>
      <c r="G61" s="16" t="inlineStr">
        <is>
          <t>NORMAND DIRECT TERROIR</t>
        </is>
      </c>
      <c r="H61" s="16" t="inlineStr"/>
      <c r="I61" s="16" t="inlineStr">
        <is>
          <t>750 ml</t>
        </is>
      </c>
      <c r="J61" s="16" t="inlineStr">
        <is>
          <t>OUI</t>
        </is>
      </c>
      <c r="K61" s="17" t="inlineStr">
        <is>
          <t>20 %</t>
        </is>
      </c>
      <c r="L61" s="18" t="n">
        <v>3.64</v>
      </c>
      <c r="M61" s="9" t="n">
        <v>7.1</v>
      </c>
      <c r="N61" s="10" t="inlineStr">
        <is>
          <t>PROPOSÉ</t>
        </is>
      </c>
      <c r="O61" s="11">
        <f>IF(M61="","",M61-L61)</f>
        <v/>
      </c>
      <c r="P61" s="12">
        <f>IF(OR(M61="",M61=0),"",(M61-L61)/M61)</f>
        <v/>
      </c>
      <c r="Q61" s="13">
        <f>IF(OR(M61="",L61=0,L61=""),"",M61/L61)</f>
        <v/>
      </c>
      <c r="R61" s="11">
        <f>IF(M61="","",M61*1.2)</f>
        <v/>
      </c>
      <c r="S61" s="14" t="n"/>
      <c r="T61" s="15" t="n"/>
    </row>
    <row r="62">
      <c r="A62" s="6" t="inlineStr">
        <is>
          <t>PROD-0376</t>
        </is>
      </c>
      <c r="B62" s="6" t="inlineStr">
        <is>
          <t>Bière ambrée 75 cl / 9 Ambrée du hameau</t>
        </is>
      </c>
      <c r="C62" s="6" t="inlineStr">
        <is>
          <t>BOISSON_ALCOOLISEE</t>
        </is>
      </c>
      <c r="D62" s="6" t="inlineStr">
        <is>
          <t>BIERE</t>
        </is>
      </c>
      <c r="E62" s="6" t="inlineStr">
        <is>
          <t>ESSENTIEL</t>
        </is>
      </c>
      <c r="F62" s="6" t="inlineStr">
        <is>
          <t>BRASSERIE LA LIE</t>
        </is>
      </c>
      <c r="G62" s="6" t="inlineStr">
        <is>
          <t>NORMAND DIRECT TERROIR</t>
        </is>
      </c>
      <c r="H62" s="6" t="inlineStr"/>
      <c r="I62" s="6" t="inlineStr">
        <is>
          <t>750 ml</t>
        </is>
      </c>
      <c r="J62" s="6" t="inlineStr">
        <is>
          <t>OUI</t>
        </is>
      </c>
      <c r="K62" s="7" t="inlineStr">
        <is>
          <t>20 %</t>
        </is>
      </c>
      <c r="L62" s="8" t="n">
        <v>3.64</v>
      </c>
      <c r="M62" s="9" t="n">
        <v>7.1</v>
      </c>
      <c r="N62" s="10" t="inlineStr">
        <is>
          <t>PROPOSÉ</t>
        </is>
      </c>
      <c r="O62" s="11">
        <f>IF(M62="","",M62-L62)</f>
        <v/>
      </c>
      <c r="P62" s="12">
        <f>IF(OR(M62="",M62=0),"",(M62-L62)/M62)</f>
        <v/>
      </c>
      <c r="Q62" s="13">
        <f>IF(OR(M62="",L62=0,L62=""),"",M62/L62)</f>
        <v/>
      </c>
      <c r="R62" s="11">
        <f>IF(M62="","",M62*1.2)</f>
        <v/>
      </c>
      <c r="S62" s="14" t="n"/>
      <c r="T62" s="15" t="n"/>
    </row>
    <row r="63">
      <c r="A63" s="16" t="inlineStr">
        <is>
          <t>PROD-0378</t>
        </is>
      </c>
      <c r="B63" s="16" t="inlineStr">
        <is>
          <t>Bière blanche 75 cl / 9 La Caennette</t>
        </is>
      </c>
      <c r="C63" s="16" t="inlineStr">
        <is>
          <t>BOISSON_ALCOOLISEE</t>
        </is>
      </c>
      <c r="D63" s="16" t="inlineStr">
        <is>
          <t>BIERE</t>
        </is>
      </c>
      <c r="E63" s="16" t="inlineStr">
        <is>
          <t>ESSENTIEL</t>
        </is>
      </c>
      <c r="F63" s="16" t="inlineStr">
        <is>
          <t>BRASSERIE LA LIE</t>
        </is>
      </c>
      <c r="G63" s="16" t="inlineStr">
        <is>
          <t>NORMAND DIRECT TERROIR</t>
        </is>
      </c>
      <c r="H63" s="16" t="inlineStr"/>
      <c r="I63" s="16" t="inlineStr">
        <is>
          <t>750 ml</t>
        </is>
      </c>
      <c r="J63" s="16" t="inlineStr">
        <is>
          <t>OUI</t>
        </is>
      </c>
      <c r="K63" s="17" t="inlineStr">
        <is>
          <t>20 %</t>
        </is>
      </c>
      <c r="L63" s="18" t="n">
        <v>3.64</v>
      </c>
      <c r="M63" s="9" t="n">
        <v>7.1</v>
      </c>
      <c r="N63" s="10" t="inlineStr">
        <is>
          <t>PROPOSÉ</t>
        </is>
      </c>
      <c r="O63" s="11">
        <f>IF(M63="","",M63-L63)</f>
        <v/>
      </c>
      <c r="P63" s="12">
        <f>IF(OR(M63="",M63=0),"",(M63-L63)/M63)</f>
        <v/>
      </c>
      <c r="Q63" s="13">
        <f>IF(OR(M63="",L63=0,L63=""),"",M63/L63)</f>
        <v/>
      </c>
      <c r="R63" s="11">
        <f>IF(M63="","",M63*1.2)</f>
        <v/>
      </c>
      <c r="S63" s="14" t="n"/>
      <c r="T63" s="15" t="n"/>
    </row>
    <row r="64">
      <c r="A64" s="6" t="inlineStr">
        <is>
          <t>PROD-0380</t>
        </is>
      </c>
      <c r="B64" s="6" t="inlineStr">
        <is>
          <t>Bière brune 75 cl / 9 Quai des brunes</t>
        </is>
      </c>
      <c r="C64" s="6" t="inlineStr">
        <is>
          <t>BOISSON_ALCOOLISEE</t>
        </is>
      </c>
      <c r="D64" s="6" t="inlineStr">
        <is>
          <t>BIERE</t>
        </is>
      </c>
      <c r="E64" s="6" t="inlineStr">
        <is>
          <t>ESSENTIEL</t>
        </is>
      </c>
      <c r="F64" s="6" t="inlineStr">
        <is>
          <t>BRASSERIE LA LIE</t>
        </is>
      </c>
      <c r="G64" s="6" t="inlineStr">
        <is>
          <t>NORMAND DIRECT TERROIR</t>
        </is>
      </c>
      <c r="H64" s="6" t="inlineStr"/>
      <c r="I64" s="6" t="inlineStr">
        <is>
          <t>750 ml</t>
        </is>
      </c>
      <c r="J64" s="6" t="inlineStr">
        <is>
          <t>OUI</t>
        </is>
      </c>
      <c r="K64" s="7" t="inlineStr">
        <is>
          <t>20 %</t>
        </is>
      </c>
      <c r="L64" s="8" t="n">
        <v>3.64</v>
      </c>
      <c r="M64" s="9" t="n">
        <v>7.1</v>
      </c>
      <c r="N64" s="10" t="inlineStr">
        <is>
          <t>PROPOSÉ</t>
        </is>
      </c>
      <c r="O64" s="11">
        <f>IF(M64="","",M64-L64)</f>
        <v/>
      </c>
      <c r="P64" s="12">
        <f>IF(OR(M64="",M64=0),"",(M64-L64)/M64)</f>
        <v/>
      </c>
      <c r="Q64" s="13">
        <f>IF(OR(M64="",L64=0,L64=""),"",M64/L64)</f>
        <v/>
      </c>
      <c r="R64" s="11">
        <f>IF(M64="","",M64*1.2)</f>
        <v/>
      </c>
      <c r="S64" s="14" t="n"/>
      <c r="T64" s="15" t="n"/>
    </row>
    <row r="65">
      <c r="A65" s="16" t="inlineStr">
        <is>
          <t>PROD-0384</t>
        </is>
      </c>
      <c r="B65" s="16" t="inlineStr">
        <is>
          <t>Bière rousse Conté fleurette 75 cl / 9</t>
        </is>
      </c>
      <c r="C65" s="16" t="inlineStr">
        <is>
          <t>BOISSON_ALCOOLISEE</t>
        </is>
      </c>
      <c r="D65" s="16" t="inlineStr">
        <is>
          <t>BIERE</t>
        </is>
      </c>
      <c r="E65" s="16" t="inlineStr">
        <is>
          <t>ESSENTIEL</t>
        </is>
      </c>
      <c r="F65" s="16" t="inlineStr">
        <is>
          <t>BRASSERIE LA LIE</t>
        </is>
      </c>
      <c r="G65" s="16" t="inlineStr">
        <is>
          <t>NORMAND DIRECT TERROIR</t>
        </is>
      </c>
      <c r="H65" s="16" t="inlineStr"/>
      <c r="I65" s="16" t="inlineStr">
        <is>
          <t>750 ml</t>
        </is>
      </c>
      <c r="J65" s="16" t="inlineStr">
        <is>
          <t>OUI</t>
        </is>
      </c>
      <c r="K65" s="17" t="inlineStr">
        <is>
          <t>20 %</t>
        </is>
      </c>
      <c r="L65" s="18" t="n">
        <v>3.64</v>
      </c>
      <c r="M65" s="9" t="n">
        <v>7.1</v>
      </c>
      <c r="N65" s="10" t="inlineStr">
        <is>
          <t>PROPOSÉ</t>
        </is>
      </c>
      <c r="O65" s="11">
        <f>IF(M65="","",M65-L65)</f>
        <v/>
      </c>
      <c r="P65" s="12">
        <f>IF(OR(M65="",M65=0),"",(M65-L65)/M65)</f>
        <v/>
      </c>
      <c r="Q65" s="13">
        <f>IF(OR(M65="",L65=0,L65=""),"",M65/L65)</f>
        <v/>
      </c>
      <c r="R65" s="11">
        <f>IF(M65="","",M65*1.2)</f>
        <v/>
      </c>
      <c r="S65" s="14" t="n"/>
      <c r="T65" s="15" t="n"/>
    </row>
    <row r="66">
      <c r="A66" s="6" t="inlineStr">
        <is>
          <t>PROD-0386</t>
        </is>
      </c>
      <c r="B66" s="6" t="inlineStr">
        <is>
          <t>Bière blonde Pale Ale  75 cl / 9 la Suisse Normande</t>
        </is>
      </c>
      <c r="C66" s="6" t="inlineStr">
        <is>
          <t>BOISSON_ALCOOLISEE</t>
        </is>
      </c>
      <c r="D66" s="6" t="inlineStr">
        <is>
          <t>BIERE</t>
        </is>
      </c>
      <c r="E66" s="6" t="inlineStr">
        <is>
          <t>ESSENTIEL</t>
        </is>
      </c>
      <c r="F66" s="6" t="inlineStr">
        <is>
          <t>BRASSERIE LA LIE</t>
        </is>
      </c>
      <c r="G66" s="6" t="inlineStr">
        <is>
          <t>NORMAND DIRECT TERROIR</t>
        </is>
      </c>
      <c r="H66" s="6" t="inlineStr"/>
      <c r="I66" s="6" t="inlineStr">
        <is>
          <t>750 ml</t>
        </is>
      </c>
      <c r="J66" s="6" t="inlineStr">
        <is>
          <t>OUI</t>
        </is>
      </c>
      <c r="K66" s="7" t="inlineStr">
        <is>
          <t>20 %</t>
        </is>
      </c>
      <c r="L66" s="8" t="n">
        <v>3.64</v>
      </c>
      <c r="M66" s="9" t="n">
        <v>7.1</v>
      </c>
      <c r="N66" s="10" t="inlineStr">
        <is>
          <t>PROPOSÉ</t>
        </is>
      </c>
      <c r="O66" s="11">
        <f>IF(M66="","",M66-L66)</f>
        <v/>
      </c>
      <c r="P66" s="12">
        <f>IF(OR(M66="",M66=0),"",(M66-L66)/M66)</f>
        <v/>
      </c>
      <c r="Q66" s="13">
        <f>IF(OR(M66="",L66=0,L66=""),"",M66/L66)</f>
        <v/>
      </c>
      <c r="R66" s="11">
        <f>IF(M66="","",M66*1.2)</f>
        <v/>
      </c>
      <c r="S66" s="14" t="n"/>
      <c r="T66" s="15" t="n"/>
    </row>
    <row r="67">
      <c r="A67" s="16" t="inlineStr">
        <is>
          <t>PROD-0388</t>
        </is>
      </c>
      <c r="B67" s="16" t="inlineStr">
        <is>
          <t>Bière de Noel 75 cl / 9 ça sent le sapin</t>
        </is>
      </c>
      <c r="C67" s="16" t="inlineStr">
        <is>
          <t>BOISSON_ALCOOLISEE</t>
        </is>
      </c>
      <c r="D67" s="16" t="inlineStr">
        <is>
          <t>BIERE</t>
        </is>
      </c>
      <c r="E67" s="16" t="inlineStr">
        <is>
          <t>ESSENTIEL</t>
        </is>
      </c>
      <c r="F67" s="16" t="inlineStr">
        <is>
          <t>BRASSERIE LA LIE</t>
        </is>
      </c>
      <c r="G67" s="16" t="inlineStr">
        <is>
          <t>NORMAND DIRECT TERROIR</t>
        </is>
      </c>
      <c r="H67" s="16" t="inlineStr"/>
      <c r="I67" s="16" t="inlineStr">
        <is>
          <t>750 ml</t>
        </is>
      </c>
      <c r="J67" s="16" t="inlineStr">
        <is>
          <t>OUI</t>
        </is>
      </c>
      <c r="K67" s="17" t="inlineStr">
        <is>
          <t>20 %</t>
        </is>
      </c>
      <c r="L67" s="18" t="n">
        <v>3.64</v>
      </c>
      <c r="M67" s="9" t="n">
        <v>7.1</v>
      </c>
      <c r="N67" s="10" t="inlineStr">
        <is>
          <t>PROPOSÉ</t>
        </is>
      </c>
      <c r="O67" s="11">
        <f>IF(M67="","",M67-L67)</f>
        <v/>
      </c>
      <c r="P67" s="12">
        <f>IF(OR(M67="",M67=0),"",(M67-L67)/M67)</f>
        <v/>
      </c>
      <c r="Q67" s="13">
        <f>IF(OR(M67="",L67=0,L67=""),"",M67/L67)</f>
        <v/>
      </c>
      <c r="R67" s="11">
        <f>IF(M67="","",M67*1.2)</f>
        <v/>
      </c>
      <c r="S67" s="14" t="n"/>
      <c r="T67" s="15" t="n"/>
    </row>
    <row r="68">
      <c r="A68" s="6" t="inlineStr">
        <is>
          <t>PROD-0390</t>
        </is>
      </c>
      <c r="B68" s="6" t="inlineStr">
        <is>
          <t>Bière édition limité du moment 75 cl / 9</t>
        </is>
      </c>
      <c r="C68" s="6" t="inlineStr">
        <is>
          <t>BOISSON_ALCOOLISEE</t>
        </is>
      </c>
      <c r="D68" s="6" t="inlineStr">
        <is>
          <t>BIERE</t>
        </is>
      </c>
      <c r="E68" s="6" t="inlineStr">
        <is>
          <t>ESSENTIEL</t>
        </is>
      </c>
      <c r="F68" s="6" t="inlineStr">
        <is>
          <t>BRASSERIE LA LIE</t>
        </is>
      </c>
      <c r="G68" s="6" t="inlineStr">
        <is>
          <t>NORMAND DIRECT TERROIR</t>
        </is>
      </c>
      <c r="H68" s="6" t="inlineStr"/>
      <c r="I68" s="6" t="inlineStr">
        <is>
          <t>750 ml</t>
        </is>
      </c>
      <c r="J68" s="6" t="inlineStr">
        <is>
          <t>OUI</t>
        </is>
      </c>
      <c r="K68" s="7" t="inlineStr">
        <is>
          <t>20 %</t>
        </is>
      </c>
      <c r="L68" s="8" t="n">
        <v>3.64</v>
      </c>
      <c r="M68" s="9" t="n">
        <v>7.1</v>
      </c>
      <c r="N68" s="10" t="inlineStr">
        <is>
          <t>PROPOSÉ</t>
        </is>
      </c>
      <c r="O68" s="11">
        <f>IF(M68="","",M68-L68)</f>
        <v/>
      </c>
      <c r="P68" s="12">
        <f>IF(OR(M68="",M68=0),"",(M68-L68)/M68)</f>
        <v/>
      </c>
      <c r="Q68" s="13">
        <f>IF(OR(M68="",L68=0,L68=""),"",M68/L68)</f>
        <v/>
      </c>
      <c r="R68" s="11">
        <f>IF(M68="","",M68*1.2)</f>
        <v/>
      </c>
      <c r="S68" s="14" t="n"/>
      <c r="T68" s="15" t="n"/>
    </row>
    <row r="69">
      <c r="A69" s="16" t="inlineStr">
        <is>
          <t>PROD-0355</t>
        </is>
      </c>
      <c r="B69" s="16" t="inlineStr">
        <is>
          <t>Cidre Cotentin doux 75 cl</t>
        </is>
      </c>
      <c r="C69" s="16" t="inlineStr">
        <is>
          <t>BOISSON_ALCOOLISEE</t>
        </is>
      </c>
      <c r="D69" s="16" t="inlineStr">
        <is>
          <t>CIDRE</t>
        </is>
      </c>
      <c r="E69" s="16" t="inlineStr">
        <is>
          <t>ESSENTIEL</t>
        </is>
      </c>
      <c r="F69" s="16" t="inlineStr">
        <is>
          <t>GAEC DE CLAIDS</t>
        </is>
      </c>
      <c r="G69" s="16" t="inlineStr">
        <is>
          <t>NORMAND DIRECT TERROIR</t>
        </is>
      </c>
      <c r="H69" s="16" t="inlineStr"/>
      <c r="I69" s="16" t="inlineStr">
        <is>
          <t>750 ml</t>
        </is>
      </c>
      <c r="J69" s="16" t="inlineStr">
        <is>
          <t>OUI</t>
        </is>
      </c>
      <c r="K69" s="17" t="inlineStr">
        <is>
          <t>20 %</t>
        </is>
      </c>
      <c r="L69" s="18" t="n">
        <v>3.6</v>
      </c>
      <c r="M69" s="9" t="n">
        <v>7</v>
      </c>
      <c r="N69" s="10" t="inlineStr">
        <is>
          <t>PROPOSÉ</t>
        </is>
      </c>
      <c r="O69" s="11">
        <f>IF(M69="","",M69-L69)</f>
        <v/>
      </c>
      <c r="P69" s="12">
        <f>IF(OR(M69="",M69=0),"",(M69-L69)/M69)</f>
        <v/>
      </c>
      <c r="Q69" s="13">
        <f>IF(OR(M69="",L69=0,L69=""),"",M69/L69)</f>
        <v/>
      </c>
      <c r="R69" s="11">
        <f>IF(M69="","",M69*1.2)</f>
        <v/>
      </c>
      <c r="S69" s="14" t="n"/>
      <c r="T69" s="15" t="n"/>
    </row>
    <row r="70">
      <c r="A70" s="6" t="inlineStr">
        <is>
          <t>PROD-0659</t>
        </is>
      </c>
      <c r="B70" s="6" t="inlineStr">
        <is>
          <t>Cidre Corsé</t>
        </is>
      </c>
      <c r="C70" s="6" t="inlineStr">
        <is>
          <t>BOISSON_ALCOOLISEE</t>
        </is>
      </c>
      <c r="D70" s="6" t="inlineStr">
        <is>
          <t>CIDRE</t>
        </is>
      </c>
      <c r="E70" s="6" t="inlineStr">
        <is>
          <t>ESSENTIEL</t>
        </is>
      </c>
      <c r="F70" s="6" t="inlineStr">
        <is>
          <t>SARL DOMAINE DE BILLY</t>
        </is>
      </c>
      <c r="G70" s="6" t="inlineStr">
        <is>
          <t>SARL DOMAINE DE BILLY</t>
        </is>
      </c>
      <c r="H70" s="6" t="inlineStr">
        <is>
          <t>75cl</t>
        </is>
      </c>
      <c r="I70" s="6" t="inlineStr">
        <is>
          <t>750 ml</t>
        </is>
      </c>
      <c r="J70" s="6" t="inlineStr">
        <is>
          <t>OUI</t>
        </is>
      </c>
      <c r="K70" s="19" t="inlineStr">
        <is>
          <t>À CONFIRMER</t>
        </is>
      </c>
      <c r="L70" s="8" t="n">
        <v>3.36</v>
      </c>
      <c r="M70" s="9" t="n">
        <v>6.6</v>
      </c>
      <c r="N70" s="10" t="inlineStr">
        <is>
          <t>PROPOSÉ</t>
        </is>
      </c>
      <c r="O70" s="11">
        <f>IF(M70="","",M70-L70)</f>
        <v/>
      </c>
      <c r="P70" s="12">
        <f>IF(OR(M70="",M70=0),"",(M70-L70)/M70)</f>
        <v/>
      </c>
      <c r="Q70" s="13">
        <f>IF(OR(M70="",L70=0,L70=""),"",M70/L70)</f>
        <v/>
      </c>
      <c r="R70" s="11">
        <f>IF(M70="","","TVA à confirmer")</f>
        <v/>
      </c>
      <c r="S70" s="14" t="n"/>
      <c r="T70" s="15" t="n"/>
    </row>
    <row r="71">
      <c r="A71" s="16" t="inlineStr">
        <is>
          <t>PROD-0660</t>
        </is>
      </c>
      <c r="B71" s="16" t="inlineStr">
        <is>
          <t>Cidre Fruité</t>
        </is>
      </c>
      <c r="C71" s="16" t="inlineStr">
        <is>
          <t>BOISSON_ALCOOLISEE</t>
        </is>
      </c>
      <c r="D71" s="16" t="inlineStr">
        <is>
          <t>CIDRE</t>
        </is>
      </c>
      <c r="E71" s="16" t="inlineStr">
        <is>
          <t>ESSENTIEL</t>
        </is>
      </c>
      <c r="F71" s="16" t="inlineStr">
        <is>
          <t>SARL DOMAINE DE BILLY</t>
        </is>
      </c>
      <c r="G71" s="16" t="inlineStr">
        <is>
          <t>SARL DOMAINE DE BILLY</t>
        </is>
      </c>
      <c r="H71" s="16" t="inlineStr">
        <is>
          <t>75cl</t>
        </is>
      </c>
      <c r="I71" s="16" t="inlineStr">
        <is>
          <t>750 ml</t>
        </is>
      </c>
      <c r="J71" s="16" t="inlineStr">
        <is>
          <t>OUI</t>
        </is>
      </c>
      <c r="K71" s="20" t="inlineStr">
        <is>
          <t>À CONFIRMER</t>
        </is>
      </c>
      <c r="L71" s="18" t="n">
        <v>3.36</v>
      </c>
      <c r="M71" s="9" t="n">
        <v>6.6</v>
      </c>
      <c r="N71" s="10" t="inlineStr">
        <is>
          <t>PROPOSÉ</t>
        </is>
      </c>
      <c r="O71" s="11">
        <f>IF(M71="","",M71-L71)</f>
        <v/>
      </c>
      <c r="P71" s="12">
        <f>IF(OR(M71="",M71=0),"",(M71-L71)/M71)</f>
        <v/>
      </c>
      <c r="Q71" s="13">
        <f>IF(OR(M71="",L71=0,L71=""),"",M71/L71)</f>
        <v/>
      </c>
      <c r="R71" s="11">
        <f>IF(M71="","","TVA à confirmer")</f>
        <v/>
      </c>
      <c r="S71" s="14" t="n"/>
      <c r="T71" s="15" t="n"/>
    </row>
    <row r="72">
      <c r="A72" s="6" t="inlineStr">
        <is>
          <t>PROD-0353</t>
        </is>
      </c>
      <c r="B72" s="6" t="inlineStr">
        <is>
          <t>Cidre Cotentin brut 33 cl</t>
        </is>
      </c>
      <c r="C72" s="6" t="inlineStr">
        <is>
          <t>BOISSON_ALCOOLISEE</t>
        </is>
      </c>
      <c r="D72" s="6" t="inlineStr">
        <is>
          <t>CIDRE</t>
        </is>
      </c>
      <c r="E72" s="6" t="inlineStr">
        <is>
          <t>ESSENTIEL</t>
        </is>
      </c>
      <c r="F72" s="6" t="inlineStr">
        <is>
          <t>GAEC DE CLAIDS</t>
        </is>
      </c>
      <c r="G72" s="6" t="inlineStr">
        <is>
          <t>NORMAND DIRECT TERROIR</t>
        </is>
      </c>
      <c r="H72" s="6" t="inlineStr"/>
      <c r="I72" s="6" t="inlineStr">
        <is>
          <t>330 ml</t>
        </is>
      </c>
      <c r="J72" s="6" t="inlineStr">
        <is>
          <t>OUI</t>
        </is>
      </c>
      <c r="K72" s="7" t="inlineStr">
        <is>
          <t>20 %</t>
        </is>
      </c>
      <c r="L72" s="8" t="n">
        <v>2.25</v>
      </c>
      <c r="M72" s="9" t="n">
        <v>4.8</v>
      </c>
      <c r="N72" s="10" t="inlineStr">
        <is>
          <t>PROPOSÉ</t>
        </is>
      </c>
      <c r="O72" s="11">
        <f>IF(M72="","",M72-L72)</f>
        <v/>
      </c>
      <c r="P72" s="12">
        <f>IF(OR(M72="",M72=0),"",(M72-L72)/M72)</f>
        <v/>
      </c>
      <c r="Q72" s="13">
        <f>IF(OR(M72="",L72=0,L72=""),"",M72/L72)</f>
        <v/>
      </c>
      <c r="R72" s="11">
        <f>IF(M72="","",M72*1.2)</f>
        <v/>
      </c>
      <c r="S72" s="14" t="n"/>
      <c r="T72" s="15" t="n"/>
    </row>
    <row r="73">
      <c r="A73" s="16" t="inlineStr">
        <is>
          <t>PROD-0381</t>
        </is>
      </c>
      <c r="B73" s="16" t="inlineStr">
        <is>
          <t>Bière triple 33 cl / 24 Triple à la mode de Caen</t>
        </is>
      </c>
      <c r="C73" s="16" t="inlineStr">
        <is>
          <t>BOISSON_ALCOOLISEE</t>
        </is>
      </c>
      <c r="D73" s="16" t="inlineStr">
        <is>
          <t>BIERE</t>
        </is>
      </c>
      <c r="E73" s="16" t="inlineStr">
        <is>
          <t>ESSENTIEL</t>
        </is>
      </c>
      <c r="F73" s="16" t="inlineStr">
        <is>
          <t>BRASSERIE LA LIE</t>
        </is>
      </c>
      <c r="G73" s="16" t="inlineStr">
        <is>
          <t>NORMAND DIRECT TERROIR</t>
        </is>
      </c>
      <c r="H73" s="16" t="inlineStr"/>
      <c r="I73" s="16" t="inlineStr">
        <is>
          <t>330 ml</t>
        </is>
      </c>
      <c r="J73" s="16" t="inlineStr">
        <is>
          <t>OUI</t>
        </is>
      </c>
      <c r="K73" s="17" t="inlineStr">
        <is>
          <t>20 %</t>
        </is>
      </c>
      <c r="L73" s="18" t="n">
        <v>2.01</v>
      </c>
      <c r="M73" s="9" t="n">
        <v>4.3</v>
      </c>
      <c r="N73" s="10" t="inlineStr">
        <is>
          <t>PROPOSÉ</t>
        </is>
      </c>
      <c r="O73" s="11">
        <f>IF(M73="","",M73-L73)</f>
        <v/>
      </c>
      <c r="P73" s="12">
        <f>IF(OR(M73="",M73=0),"",(M73-L73)/M73)</f>
        <v/>
      </c>
      <c r="Q73" s="13">
        <f>IF(OR(M73="",L73=0,L73=""),"",M73/L73)</f>
        <v/>
      </c>
      <c r="R73" s="11">
        <f>IF(M73="","",M73*1.2)</f>
        <v/>
      </c>
      <c r="S73" s="14" t="n"/>
      <c r="T73" s="15" t="n"/>
    </row>
    <row r="74">
      <c r="A74" s="6" t="inlineStr">
        <is>
          <t>PROD-0373</t>
        </is>
      </c>
      <c r="B74" s="6" t="inlineStr">
        <is>
          <t>Bière blonde 33 cl / 24 Au prés de ma blonde</t>
        </is>
      </c>
      <c r="C74" s="6" t="inlineStr">
        <is>
          <t>BOISSON_ALCOOLISEE</t>
        </is>
      </c>
      <c r="D74" s="6" t="inlineStr">
        <is>
          <t>BIERE</t>
        </is>
      </c>
      <c r="E74" s="6" t="inlineStr">
        <is>
          <t>ESSENTIEL</t>
        </is>
      </c>
      <c r="F74" s="6" t="inlineStr">
        <is>
          <t>BRASSERIE LA LIE</t>
        </is>
      </c>
      <c r="G74" s="6" t="inlineStr">
        <is>
          <t>NORMAND DIRECT TERROIR</t>
        </is>
      </c>
      <c r="H74" s="6" t="inlineStr"/>
      <c r="I74" s="6" t="inlineStr">
        <is>
          <t>330 ml</t>
        </is>
      </c>
      <c r="J74" s="6" t="inlineStr">
        <is>
          <t>OUI</t>
        </is>
      </c>
      <c r="K74" s="7" t="inlineStr">
        <is>
          <t>20 %</t>
        </is>
      </c>
      <c r="L74" s="8" t="n">
        <v>1.96</v>
      </c>
      <c r="M74" s="9" t="n">
        <v>4.2</v>
      </c>
      <c r="N74" s="10" t="inlineStr">
        <is>
          <t>PROPOSÉ</t>
        </is>
      </c>
      <c r="O74" s="11">
        <f>IF(M74="","",M74-L74)</f>
        <v/>
      </c>
      <c r="P74" s="12">
        <f>IF(OR(M74="",M74=0),"",(M74-L74)/M74)</f>
        <v/>
      </c>
      <c r="Q74" s="13">
        <f>IF(OR(M74="",L74=0,L74=""),"",M74/L74)</f>
        <v/>
      </c>
      <c r="R74" s="11">
        <f>IF(M74="","",M74*1.2)</f>
        <v/>
      </c>
      <c r="S74" s="14" t="n"/>
      <c r="T74" s="15" t="n"/>
    </row>
    <row r="75">
      <c r="A75" s="16" t="inlineStr">
        <is>
          <t>PROD-0375</t>
        </is>
      </c>
      <c r="B75" s="16" t="inlineStr">
        <is>
          <t>Bière ambrée 33 cl / 24 Ambrée du hameau</t>
        </is>
      </c>
      <c r="C75" s="16" t="inlineStr">
        <is>
          <t>BOISSON_ALCOOLISEE</t>
        </is>
      </c>
      <c r="D75" s="16" t="inlineStr">
        <is>
          <t>BIERE</t>
        </is>
      </c>
      <c r="E75" s="16" t="inlineStr">
        <is>
          <t>ESSENTIEL</t>
        </is>
      </c>
      <c r="F75" s="16" t="inlineStr">
        <is>
          <t>BRASSERIE LA LIE</t>
        </is>
      </c>
      <c r="G75" s="16" t="inlineStr">
        <is>
          <t>NORMAND DIRECT TERROIR</t>
        </is>
      </c>
      <c r="H75" s="16" t="inlineStr"/>
      <c r="I75" s="16" t="inlineStr">
        <is>
          <t>330 ml</t>
        </is>
      </c>
      <c r="J75" s="16" t="inlineStr">
        <is>
          <t>OUI</t>
        </is>
      </c>
      <c r="K75" s="17" t="inlineStr">
        <is>
          <t>20 %</t>
        </is>
      </c>
      <c r="L75" s="18" t="n">
        <v>1.96</v>
      </c>
      <c r="M75" s="9" t="n">
        <v>4.2</v>
      </c>
      <c r="N75" s="10" t="inlineStr">
        <is>
          <t>PROPOSÉ</t>
        </is>
      </c>
      <c r="O75" s="11">
        <f>IF(M75="","",M75-L75)</f>
        <v/>
      </c>
      <c r="P75" s="12">
        <f>IF(OR(M75="",M75=0),"",(M75-L75)/M75)</f>
        <v/>
      </c>
      <c r="Q75" s="13">
        <f>IF(OR(M75="",L75=0,L75=""),"",M75/L75)</f>
        <v/>
      </c>
      <c r="R75" s="11">
        <f>IF(M75="","",M75*1.2)</f>
        <v/>
      </c>
      <c r="S75" s="14" t="n"/>
      <c r="T75" s="15" t="n"/>
    </row>
    <row r="76">
      <c r="A76" s="6" t="inlineStr">
        <is>
          <t>PROD-0377</t>
        </is>
      </c>
      <c r="B76" s="6" t="inlineStr">
        <is>
          <t>Bière blanche 33 cl / 24 La Caennette</t>
        </is>
      </c>
      <c r="C76" s="6" t="inlineStr">
        <is>
          <t>BOISSON_ALCOOLISEE</t>
        </is>
      </c>
      <c r="D76" s="6" t="inlineStr">
        <is>
          <t>BIERE</t>
        </is>
      </c>
      <c r="E76" s="6" t="inlineStr">
        <is>
          <t>ESSENTIEL</t>
        </is>
      </c>
      <c r="F76" s="6" t="inlineStr">
        <is>
          <t>BRASSERIE LA LIE</t>
        </is>
      </c>
      <c r="G76" s="6" t="inlineStr">
        <is>
          <t>NORMAND DIRECT TERROIR</t>
        </is>
      </c>
      <c r="H76" s="6" t="inlineStr"/>
      <c r="I76" s="6" t="inlineStr">
        <is>
          <t>330 ml</t>
        </is>
      </c>
      <c r="J76" s="6" t="inlineStr">
        <is>
          <t>OUI</t>
        </is>
      </c>
      <c r="K76" s="7" t="inlineStr">
        <is>
          <t>20 %</t>
        </is>
      </c>
      <c r="L76" s="8" t="n">
        <v>1.96</v>
      </c>
      <c r="M76" s="9" t="n">
        <v>4.2</v>
      </c>
      <c r="N76" s="10" t="inlineStr">
        <is>
          <t>PROPOSÉ</t>
        </is>
      </c>
      <c r="O76" s="11">
        <f>IF(M76="","",M76-L76)</f>
        <v/>
      </c>
      <c r="P76" s="12">
        <f>IF(OR(M76="",M76=0),"",(M76-L76)/M76)</f>
        <v/>
      </c>
      <c r="Q76" s="13">
        <f>IF(OR(M76="",L76=0,L76=""),"",M76/L76)</f>
        <v/>
      </c>
      <c r="R76" s="11">
        <f>IF(M76="","",M76*1.2)</f>
        <v/>
      </c>
      <c r="S76" s="14" t="n"/>
      <c r="T76" s="15" t="n"/>
    </row>
    <row r="77">
      <c r="A77" s="16" t="inlineStr">
        <is>
          <t>PROD-0379</t>
        </is>
      </c>
      <c r="B77" s="16" t="inlineStr">
        <is>
          <t>Bière brune 33 cl / 24 Quai des brune</t>
        </is>
      </c>
      <c r="C77" s="16" t="inlineStr">
        <is>
          <t>BOISSON_ALCOOLISEE</t>
        </is>
      </c>
      <c r="D77" s="16" t="inlineStr">
        <is>
          <t>BIERE</t>
        </is>
      </c>
      <c r="E77" s="16" t="inlineStr">
        <is>
          <t>ESSENTIEL</t>
        </is>
      </c>
      <c r="F77" s="16" t="inlineStr">
        <is>
          <t>BRASSERIE LA LIE</t>
        </is>
      </c>
      <c r="G77" s="16" t="inlineStr">
        <is>
          <t>NORMAND DIRECT TERROIR</t>
        </is>
      </c>
      <c r="H77" s="16" t="inlineStr"/>
      <c r="I77" s="16" t="inlineStr">
        <is>
          <t>330 ml</t>
        </is>
      </c>
      <c r="J77" s="16" t="inlineStr">
        <is>
          <t>OUI</t>
        </is>
      </c>
      <c r="K77" s="17" t="inlineStr">
        <is>
          <t>20 %</t>
        </is>
      </c>
      <c r="L77" s="18" t="n">
        <v>1.96</v>
      </c>
      <c r="M77" s="9" t="n">
        <v>4.2</v>
      </c>
      <c r="N77" s="10" t="inlineStr">
        <is>
          <t>PROPOSÉ</t>
        </is>
      </c>
      <c r="O77" s="11">
        <f>IF(M77="","",M77-L77)</f>
        <v/>
      </c>
      <c r="P77" s="12">
        <f>IF(OR(M77="",M77=0),"",(M77-L77)/M77)</f>
        <v/>
      </c>
      <c r="Q77" s="13">
        <f>IF(OR(M77="",L77=0,L77=""),"",M77/L77)</f>
        <v/>
      </c>
      <c r="R77" s="11">
        <f>IF(M77="","",M77*1.2)</f>
        <v/>
      </c>
      <c r="S77" s="14" t="n"/>
      <c r="T77" s="15" t="n"/>
    </row>
    <row r="78">
      <c r="A78" s="6" t="inlineStr">
        <is>
          <t>PROD-0383</t>
        </is>
      </c>
      <c r="B78" s="6" t="inlineStr">
        <is>
          <t>Bière rousse Conté fleurette 33 cl / 24</t>
        </is>
      </c>
      <c r="C78" s="6" t="inlineStr">
        <is>
          <t>BOISSON_ALCOOLISEE</t>
        </is>
      </c>
      <c r="D78" s="6" t="inlineStr">
        <is>
          <t>BIERE</t>
        </is>
      </c>
      <c r="E78" s="6" t="inlineStr">
        <is>
          <t>ESSENTIEL</t>
        </is>
      </c>
      <c r="F78" s="6" t="inlineStr">
        <is>
          <t>BRASSERIE LA LIE</t>
        </is>
      </c>
      <c r="G78" s="6" t="inlineStr">
        <is>
          <t>NORMAND DIRECT TERROIR</t>
        </is>
      </c>
      <c r="H78" s="6" t="inlineStr"/>
      <c r="I78" s="6" t="inlineStr">
        <is>
          <t>330 ml</t>
        </is>
      </c>
      <c r="J78" s="6" t="inlineStr">
        <is>
          <t>OUI</t>
        </is>
      </c>
      <c r="K78" s="7" t="inlineStr">
        <is>
          <t>20 %</t>
        </is>
      </c>
      <c r="L78" s="8" t="n">
        <v>1.96</v>
      </c>
      <c r="M78" s="9" t="n">
        <v>4.2</v>
      </c>
      <c r="N78" s="10" t="inlineStr">
        <is>
          <t>PROPOSÉ</t>
        </is>
      </c>
      <c r="O78" s="11">
        <f>IF(M78="","",M78-L78)</f>
        <v/>
      </c>
      <c r="P78" s="12">
        <f>IF(OR(M78="",M78=0),"",(M78-L78)/M78)</f>
        <v/>
      </c>
      <c r="Q78" s="13">
        <f>IF(OR(M78="",L78=0,L78=""),"",M78/L78)</f>
        <v/>
      </c>
      <c r="R78" s="11">
        <f>IF(M78="","",M78*1.2)</f>
        <v/>
      </c>
      <c r="S78" s="14" t="n"/>
      <c r="T78" s="15" t="n"/>
    </row>
    <row r="79">
      <c r="A79" s="16" t="inlineStr">
        <is>
          <t>PROD-0385</t>
        </is>
      </c>
      <c r="B79" s="16" t="inlineStr">
        <is>
          <t>Bière blonde Pale Ale  33 cl / 24 la Suisse Normande</t>
        </is>
      </c>
      <c r="C79" s="16" t="inlineStr">
        <is>
          <t>BOISSON_ALCOOLISEE</t>
        </is>
      </c>
      <c r="D79" s="16" t="inlineStr">
        <is>
          <t>BIERE</t>
        </is>
      </c>
      <c r="E79" s="16" t="inlineStr">
        <is>
          <t>ESSENTIEL</t>
        </is>
      </c>
      <c r="F79" s="16" t="inlineStr">
        <is>
          <t>BRASSERIE LA LIE</t>
        </is>
      </c>
      <c r="G79" s="16" t="inlineStr">
        <is>
          <t>NORMAND DIRECT TERROIR</t>
        </is>
      </c>
      <c r="H79" s="16" t="inlineStr"/>
      <c r="I79" s="16" t="inlineStr">
        <is>
          <t>330 ml</t>
        </is>
      </c>
      <c r="J79" s="16" t="inlineStr">
        <is>
          <t>OUI</t>
        </is>
      </c>
      <c r="K79" s="17" t="inlineStr">
        <is>
          <t>20 %</t>
        </is>
      </c>
      <c r="L79" s="18" t="n">
        <v>1.96</v>
      </c>
      <c r="M79" s="9" t="n">
        <v>4.2</v>
      </c>
      <c r="N79" s="10" t="inlineStr">
        <is>
          <t>PROPOSÉ</t>
        </is>
      </c>
      <c r="O79" s="11">
        <f>IF(M79="","",M79-L79)</f>
        <v/>
      </c>
      <c r="P79" s="12">
        <f>IF(OR(M79="",M79=0),"",(M79-L79)/M79)</f>
        <v/>
      </c>
      <c r="Q79" s="13">
        <f>IF(OR(M79="",L79=0,L79=""),"",M79/L79)</f>
        <v/>
      </c>
      <c r="R79" s="11">
        <f>IF(M79="","",M79*1.2)</f>
        <v/>
      </c>
      <c r="S79" s="14" t="n"/>
      <c r="T79" s="15" t="n"/>
    </row>
    <row r="80">
      <c r="A80" s="6" t="inlineStr">
        <is>
          <t>PROD-0387</t>
        </is>
      </c>
      <c r="B80" s="6" t="inlineStr">
        <is>
          <t>Bière de Noel 33 cl / 24 ça sent le sapin</t>
        </is>
      </c>
      <c r="C80" s="6" t="inlineStr">
        <is>
          <t>BOISSON_ALCOOLISEE</t>
        </is>
      </c>
      <c r="D80" s="6" t="inlineStr">
        <is>
          <t>BIERE</t>
        </is>
      </c>
      <c r="E80" s="6" t="inlineStr">
        <is>
          <t>ESSENTIEL</t>
        </is>
      </c>
      <c r="F80" s="6" t="inlineStr">
        <is>
          <t>BRASSERIE LA LIE</t>
        </is>
      </c>
      <c r="G80" s="6" t="inlineStr">
        <is>
          <t>NORMAND DIRECT TERROIR</t>
        </is>
      </c>
      <c r="H80" s="6" t="inlineStr"/>
      <c r="I80" s="6" t="inlineStr">
        <is>
          <t>330 ml</t>
        </is>
      </c>
      <c r="J80" s="6" t="inlineStr">
        <is>
          <t>OUI</t>
        </is>
      </c>
      <c r="K80" s="7" t="inlineStr">
        <is>
          <t>20 %</t>
        </is>
      </c>
      <c r="L80" s="8" t="n">
        <v>1.96</v>
      </c>
      <c r="M80" s="9" t="n">
        <v>4.2</v>
      </c>
      <c r="N80" s="10" t="inlineStr">
        <is>
          <t>PROPOSÉ</t>
        </is>
      </c>
      <c r="O80" s="11">
        <f>IF(M80="","",M80-L80)</f>
        <v/>
      </c>
      <c r="P80" s="12">
        <f>IF(OR(M80="",M80=0),"",(M80-L80)/M80)</f>
        <v/>
      </c>
      <c r="Q80" s="13">
        <f>IF(OR(M80="",L80=0,L80=""),"",M80/L80)</f>
        <v/>
      </c>
      <c r="R80" s="11">
        <f>IF(M80="","",M80*1.2)</f>
        <v/>
      </c>
      <c r="S80" s="14" t="n"/>
      <c r="T80" s="15" t="n"/>
    </row>
    <row r="81">
      <c r="A81" s="16" t="inlineStr">
        <is>
          <t>PROD-0389</t>
        </is>
      </c>
      <c r="B81" s="16" t="inlineStr">
        <is>
          <t>Bière édition limité du moment 33 cl / 24</t>
        </is>
      </c>
      <c r="C81" s="16" t="inlineStr">
        <is>
          <t>BOISSON_ALCOOLISEE</t>
        </is>
      </c>
      <c r="D81" s="16" t="inlineStr">
        <is>
          <t>BIERE</t>
        </is>
      </c>
      <c r="E81" s="16" t="inlineStr">
        <is>
          <t>ESSENTIEL</t>
        </is>
      </c>
      <c r="F81" s="16" t="inlineStr">
        <is>
          <t>BRASSERIE LA LIE</t>
        </is>
      </c>
      <c r="G81" s="16" t="inlineStr">
        <is>
          <t>NORMAND DIRECT TERROIR</t>
        </is>
      </c>
      <c r="H81" s="16" t="inlineStr"/>
      <c r="I81" s="16" t="inlineStr">
        <is>
          <t>330 ml</t>
        </is>
      </c>
      <c r="J81" s="16" t="inlineStr">
        <is>
          <t>OUI</t>
        </is>
      </c>
      <c r="K81" s="17" t="inlineStr">
        <is>
          <t>20 %</t>
        </is>
      </c>
      <c r="L81" s="18" t="n">
        <v>1.96</v>
      </c>
      <c r="M81" s="9" t="n">
        <v>4.2</v>
      </c>
      <c r="N81" s="10" t="inlineStr">
        <is>
          <t>PROPOSÉ</t>
        </is>
      </c>
      <c r="O81" s="11">
        <f>IF(M81="","",M81-L81)</f>
        <v/>
      </c>
      <c r="P81" s="12">
        <f>IF(OR(M81="",M81=0),"",(M81-L81)/M81)</f>
        <v/>
      </c>
      <c r="Q81" s="13">
        <f>IF(OR(M81="",L81=0,L81=""),"",M81/L81)</f>
        <v/>
      </c>
      <c r="R81" s="11">
        <f>IF(M81="","",M81*1.2)</f>
        <v/>
      </c>
      <c r="S81" s="14" t="n"/>
      <c r="T81" s="15" t="n"/>
    </row>
    <row r="82">
      <c r="A82" s="6" t="inlineStr">
        <is>
          <t>PROD-0323</t>
        </is>
      </c>
      <c r="B82" s="6" t="inlineStr">
        <is>
          <t>Amour d'Hérout brut 33 cl cidre IGP</t>
        </is>
      </c>
      <c r="C82" s="6" t="inlineStr">
        <is>
          <t>BOISSON_ALCOOLISEE</t>
        </is>
      </c>
      <c r="D82" s="6" t="inlineStr">
        <is>
          <t>CIDRE</t>
        </is>
      </c>
      <c r="E82" s="6" t="inlineStr">
        <is>
          <t>ESSENTIEL</t>
        </is>
      </c>
      <c r="F82" s="6" t="inlineStr">
        <is>
          <t>MAISON HEROUT</t>
        </is>
      </c>
      <c r="G82" s="6" t="inlineStr">
        <is>
          <t>NORMAND DIRECT TERROIR</t>
        </is>
      </c>
      <c r="H82" s="6" t="inlineStr"/>
      <c r="I82" s="6" t="inlineStr">
        <is>
          <t>330 ml</t>
        </is>
      </c>
      <c r="J82" s="6" t="inlineStr">
        <is>
          <t>OUI</t>
        </is>
      </c>
      <c r="K82" s="7" t="inlineStr">
        <is>
          <t>20 %</t>
        </is>
      </c>
      <c r="L82" s="8" t="n">
        <v>1.93</v>
      </c>
      <c r="M82" s="9" t="n">
        <v>4.1</v>
      </c>
      <c r="N82" s="10" t="inlineStr">
        <is>
          <t>PROPOSÉ</t>
        </is>
      </c>
      <c r="O82" s="11">
        <f>IF(M82="","",M82-L82)</f>
        <v/>
      </c>
      <c r="P82" s="12">
        <f>IF(OR(M82="",M82=0),"",(M82-L82)/M82)</f>
        <v/>
      </c>
      <c r="Q82" s="13">
        <f>IF(OR(M82="",L82=0,L82=""),"",M82/L82)</f>
        <v/>
      </c>
      <c r="R82" s="11">
        <f>IF(M82="","",M82*1.2)</f>
        <v/>
      </c>
      <c r="S82" s="14" t="n"/>
      <c r="T82" s="15" t="n"/>
    </row>
    <row r="83">
      <c r="A83" s="16" t="inlineStr">
        <is>
          <t>PROD-0325</t>
        </is>
      </c>
      <c r="B83" s="16" t="inlineStr">
        <is>
          <t>Amour d'Hérout doux 33 cl cidre IGP</t>
        </is>
      </c>
      <c r="C83" s="16" t="inlineStr">
        <is>
          <t>BOISSON_ALCOOLISEE</t>
        </is>
      </c>
      <c r="D83" s="16" t="inlineStr">
        <is>
          <t>CIDRE</t>
        </is>
      </c>
      <c r="E83" s="16" t="inlineStr">
        <is>
          <t>ESSENTIEL</t>
        </is>
      </c>
      <c r="F83" s="16" t="inlineStr">
        <is>
          <t>MAISON HEROUT</t>
        </is>
      </c>
      <c r="G83" s="16" t="inlineStr">
        <is>
          <t>NORMAND DIRECT TERROIR</t>
        </is>
      </c>
      <c r="H83" s="16" t="inlineStr"/>
      <c r="I83" s="16" t="inlineStr">
        <is>
          <t>330 ml</t>
        </is>
      </c>
      <c r="J83" s="16" t="inlineStr">
        <is>
          <t>OUI</t>
        </is>
      </c>
      <c r="K83" s="17" t="inlineStr">
        <is>
          <t>20 %</t>
        </is>
      </c>
      <c r="L83" s="18" t="n">
        <v>1.93</v>
      </c>
      <c r="M83" s="9" t="n">
        <v>4.1</v>
      </c>
      <c r="N83" s="10" t="inlineStr">
        <is>
          <t>PROPOSÉ</t>
        </is>
      </c>
      <c r="O83" s="11">
        <f>IF(M83="","",M83-L83)</f>
        <v/>
      </c>
      <c r="P83" s="12">
        <f>IF(OR(M83="",M83=0),"",(M83-L83)/M83)</f>
        <v/>
      </c>
      <c r="Q83" s="13">
        <f>IF(OR(M83="",L83=0,L83=""),"",M83/L83)</f>
        <v/>
      </c>
      <c r="R83" s="11">
        <f>IF(M83="","",M83*1.2)</f>
        <v/>
      </c>
      <c r="S83" s="14" t="n"/>
      <c r="T83" s="15" t="n"/>
    </row>
    <row r="84">
      <c r="A84" s="6" t="inlineStr">
        <is>
          <t>PROD-0665</t>
        </is>
      </c>
      <c r="B84" s="6" t="inlineStr">
        <is>
          <t>Cidre Fruité</t>
        </is>
      </c>
      <c r="C84" s="6" t="inlineStr">
        <is>
          <t>BOISSON_ALCOOLISEE</t>
        </is>
      </c>
      <c r="D84" s="6" t="inlineStr">
        <is>
          <t>CIDRE</t>
        </is>
      </c>
      <c r="E84" s="6" t="inlineStr">
        <is>
          <t>ESSENTIEL</t>
        </is>
      </c>
      <c r="F84" s="6" t="inlineStr">
        <is>
          <t>SARL DOMAINE DE BILLY</t>
        </is>
      </c>
      <c r="G84" s="6" t="inlineStr">
        <is>
          <t>SARL DOMAINE DE BILLY</t>
        </is>
      </c>
      <c r="H84" s="6" t="inlineStr">
        <is>
          <t>33cl</t>
        </is>
      </c>
      <c r="I84" s="6" t="inlineStr">
        <is>
          <t>330 ml</t>
        </is>
      </c>
      <c r="J84" s="6" t="inlineStr">
        <is>
          <t>OUI</t>
        </is>
      </c>
      <c r="K84" s="19" t="inlineStr">
        <is>
          <t>À CONFIRMER</t>
        </is>
      </c>
      <c r="L84" s="8" t="n">
        <v>1.75</v>
      </c>
      <c r="M84" s="9" t="n">
        <v>3.8</v>
      </c>
      <c r="N84" s="10" t="inlineStr">
        <is>
          <t>PROPOSÉ</t>
        </is>
      </c>
      <c r="O84" s="11">
        <f>IF(M84="","",M84-L84)</f>
        <v/>
      </c>
      <c r="P84" s="12">
        <f>IF(OR(M84="",M84=0),"",(M84-L84)/M84)</f>
        <v/>
      </c>
      <c r="Q84" s="13">
        <f>IF(OR(M84="",L84=0,L84=""),"",M84/L84)</f>
        <v/>
      </c>
      <c r="R84" s="11">
        <f>IF(M84="","","TVA à confirmer")</f>
        <v/>
      </c>
      <c r="S84" s="14" t="n"/>
      <c r="T84" s="15" t="n"/>
    </row>
    <row r="85">
      <c r="A85" s="16" t="inlineStr">
        <is>
          <t>PROD-0666</t>
        </is>
      </c>
      <c r="B85" s="16" t="inlineStr">
        <is>
          <t>Cidre Fraîcheur</t>
        </is>
      </c>
      <c r="C85" s="16" t="inlineStr">
        <is>
          <t>BOISSON_ALCOOLISEE</t>
        </is>
      </c>
      <c r="D85" s="16" t="inlineStr">
        <is>
          <t>CIDRE</t>
        </is>
      </c>
      <c r="E85" s="16" t="inlineStr">
        <is>
          <t>ESSENTIEL</t>
        </is>
      </c>
      <c r="F85" s="16" t="inlineStr">
        <is>
          <t>SARL DOMAINE DE BILLY</t>
        </is>
      </c>
      <c r="G85" s="16" t="inlineStr">
        <is>
          <t>SARL DOMAINE DE BILLY</t>
        </is>
      </c>
      <c r="H85" s="16" t="inlineStr">
        <is>
          <t>33cl</t>
        </is>
      </c>
      <c r="I85" s="16" t="inlineStr">
        <is>
          <t>330 ml</t>
        </is>
      </c>
      <c r="J85" s="16" t="inlineStr">
        <is>
          <t>OUI</t>
        </is>
      </c>
      <c r="K85" s="20" t="inlineStr">
        <is>
          <t>À CONFIRMER</t>
        </is>
      </c>
      <c r="L85" s="18" t="n">
        <v>1.75</v>
      </c>
      <c r="M85" s="9" t="n">
        <v>3.8</v>
      </c>
      <c r="N85" s="10" t="inlineStr">
        <is>
          <t>PROPOSÉ</t>
        </is>
      </c>
      <c r="O85" s="11">
        <f>IF(M85="","",M85-L85)</f>
        <v/>
      </c>
      <c r="P85" s="12">
        <f>IF(OR(M85="",M85=0),"",(M85-L85)/M85)</f>
        <v/>
      </c>
      <c r="Q85" s="13">
        <f>IF(OR(M85="",L85=0,L85=""),"",M85/L85)</f>
        <v/>
      </c>
      <c r="R85" s="11">
        <f>IF(M85="","","TVA à confirmer")</f>
        <v/>
      </c>
      <c r="S85" s="14" t="n"/>
      <c r="T85" s="15" t="n"/>
    </row>
    <row r="86">
      <c r="A86" s="6" t="inlineStr">
        <is>
          <t>PROD-0667</t>
        </is>
      </c>
      <c r="B86" s="6" t="inlineStr">
        <is>
          <t>Cidre Tonique</t>
        </is>
      </c>
      <c r="C86" s="6" t="inlineStr">
        <is>
          <t>BOISSON_ALCOOLISEE</t>
        </is>
      </c>
      <c r="D86" s="6" t="inlineStr">
        <is>
          <t>CIDRE</t>
        </is>
      </c>
      <c r="E86" s="6" t="inlineStr">
        <is>
          <t>ESSENTIEL</t>
        </is>
      </c>
      <c r="F86" s="6" t="inlineStr">
        <is>
          <t>SARL DOMAINE DE BILLY</t>
        </is>
      </c>
      <c r="G86" s="6" t="inlineStr">
        <is>
          <t>SARL DOMAINE DE BILLY</t>
        </is>
      </c>
      <c r="H86" s="6" t="inlineStr">
        <is>
          <t>33cl</t>
        </is>
      </c>
      <c r="I86" s="6" t="inlineStr">
        <is>
          <t>330 ml</t>
        </is>
      </c>
      <c r="J86" s="6" t="inlineStr">
        <is>
          <t>OUI</t>
        </is>
      </c>
      <c r="K86" s="19" t="inlineStr">
        <is>
          <t>À CONFIRMER</t>
        </is>
      </c>
      <c r="L86" s="8" t="n">
        <v>1.75</v>
      </c>
      <c r="M86" s="9" t="n">
        <v>3.8</v>
      </c>
      <c r="N86" s="10" t="inlineStr">
        <is>
          <t>PROPOSÉ</t>
        </is>
      </c>
      <c r="O86" s="11">
        <f>IF(M86="","",M86-L86)</f>
        <v/>
      </c>
      <c r="P86" s="12">
        <f>IF(OR(M86="",M86=0),"",(M86-L86)/M86)</f>
        <v/>
      </c>
      <c r="Q86" s="13">
        <f>IF(OR(M86="",L86=0,L86=""),"",M86/L86)</f>
        <v/>
      </c>
      <c r="R86" s="11">
        <f>IF(M86="","","TVA à confirmer")</f>
        <v/>
      </c>
      <c r="S86" s="14" t="n"/>
      <c r="T86" s="15" t="n"/>
    </row>
    <row r="87">
      <c r="A87" s="16" t="inlineStr">
        <is>
          <t>PROD-0664</t>
        </is>
      </c>
      <c r="B87" s="16" t="inlineStr">
        <is>
          <t>Terroir Chic</t>
        </is>
      </c>
      <c r="C87" s="16" t="inlineStr">
        <is>
          <t>BOISSON_ALCOOLISEE</t>
        </is>
      </c>
      <c r="D87" s="16" t="inlineStr">
        <is>
          <t>CIDRE</t>
        </is>
      </c>
      <c r="E87" s="16" t="inlineStr">
        <is>
          <t>ESSENTIEL</t>
        </is>
      </c>
      <c r="F87" s="16" t="inlineStr">
        <is>
          <t>SARL DOMAINE DE BILLY</t>
        </is>
      </c>
      <c r="G87" s="16" t="inlineStr">
        <is>
          <t>SARL DOMAINE DE BILLY</t>
        </is>
      </c>
      <c r="H87" s="16" t="inlineStr">
        <is>
          <t>33cl</t>
        </is>
      </c>
      <c r="I87" s="16" t="inlineStr">
        <is>
          <t>330 ml</t>
        </is>
      </c>
      <c r="J87" s="16" t="inlineStr">
        <is>
          <t>OUI</t>
        </is>
      </c>
      <c r="K87" s="20" t="inlineStr">
        <is>
          <t>À CONFIRMER</t>
        </is>
      </c>
      <c r="L87" s="18" t="n">
        <v>1.71</v>
      </c>
      <c r="M87" s="9" t="n">
        <v>3.7</v>
      </c>
      <c r="N87" s="10" t="inlineStr">
        <is>
          <t>PROPOSÉ</t>
        </is>
      </c>
      <c r="O87" s="11">
        <f>IF(M87="","",M87-L87)</f>
        <v/>
      </c>
      <c r="P87" s="12">
        <f>IF(OR(M87="",M87=0),"",(M87-L87)/M87)</f>
        <v/>
      </c>
      <c r="Q87" s="13">
        <f>IF(OR(M87="",L87=0,L87=""),"",M87/L87)</f>
        <v/>
      </c>
      <c r="R87" s="11">
        <f>IF(M87="","","TVA à confirmer")</f>
        <v/>
      </c>
      <c r="S87" s="14" t="n"/>
      <c r="T87" s="15" t="n"/>
    </row>
    <row r="88">
      <c r="A88" s="6" t="inlineStr">
        <is>
          <t>PROD-0701</t>
        </is>
      </c>
      <c r="B88" s="6" t="inlineStr">
        <is>
          <t>Le Rosé Marin 75cl btlle</t>
        </is>
      </c>
      <c r="C88" s="6" t="inlineStr">
        <is>
          <t>BOISSON_ALCOOLISEE</t>
        </is>
      </c>
      <c r="D88" s="6" t="inlineStr">
        <is>
          <t>VIN</t>
        </is>
      </c>
      <c r="E88" s="6" t="inlineStr">
        <is>
          <t>SIGNATURE</t>
        </is>
      </c>
      <c r="F88" s="6" t="inlineStr">
        <is>
          <t>DOMAINE DE BRUCAN</t>
        </is>
      </c>
      <c r="G88" s="6" t="inlineStr">
        <is>
          <t>DOMAINE DE BRUCAN</t>
        </is>
      </c>
      <c r="H88" s="6" t="inlineStr">
        <is>
          <t>bouteille 75 cl (mention « btlle » sur la facture)</t>
        </is>
      </c>
      <c r="I88" s="6" t="inlineStr">
        <is>
          <t>750 ml</t>
        </is>
      </c>
      <c r="J88" s="6" t="inlineStr">
        <is>
          <t>OUI</t>
        </is>
      </c>
      <c r="K88" s="7" t="inlineStr">
        <is>
          <t>20 %</t>
        </is>
      </c>
      <c r="L88" s="8" t="n">
        <v>9.5</v>
      </c>
      <c r="M88" s="9" t="n">
        <v>15.3</v>
      </c>
      <c r="N88" s="10" t="inlineStr">
        <is>
          <t>PROPOSÉ</t>
        </is>
      </c>
      <c r="O88" s="11">
        <f>IF(M88="","",M88-L88)</f>
        <v/>
      </c>
      <c r="P88" s="12">
        <f>IF(OR(M88="",M88=0),"",(M88-L88)/M88)</f>
        <v/>
      </c>
      <c r="Q88" s="13">
        <f>IF(OR(M88="",L88=0,L88=""),"",M88/L88)</f>
        <v/>
      </c>
      <c r="R88" s="11">
        <f>IF(M88="","",M88*1.2)</f>
        <v/>
      </c>
      <c r="S88" s="14" t="n"/>
      <c r="T88" s="15" t="n"/>
    </row>
    <row r="89">
      <c r="A89" s="16" t="inlineStr">
        <is>
          <t>PROD-0405</t>
        </is>
      </c>
      <c r="B89" s="16" t="inlineStr">
        <is>
          <t>Gin 40 ° 20 cl</t>
        </is>
      </c>
      <c r="C89" s="16" t="inlineStr">
        <is>
          <t>BOISSON_ALCOOLISEE</t>
        </is>
      </c>
      <c r="D89" s="16" t="inlineStr">
        <is>
          <t>SPIRITUEUX</t>
        </is>
      </c>
      <c r="E89" s="16" t="inlineStr">
        <is>
          <t>SIGNATURE</t>
        </is>
      </c>
      <c r="F89" s="16" t="inlineStr">
        <is>
          <t>DISTILLERIE C'EST NOUS</t>
        </is>
      </c>
      <c r="G89" s="16" t="inlineStr">
        <is>
          <t>NORMAND DIRECT TERROIR</t>
        </is>
      </c>
      <c r="H89" s="16" t="inlineStr"/>
      <c r="I89" s="16" t="inlineStr">
        <is>
          <t>200 ml</t>
        </is>
      </c>
      <c r="J89" s="16" t="inlineStr">
        <is>
          <t>OUI</t>
        </is>
      </c>
      <c r="K89" s="17" t="inlineStr">
        <is>
          <t>20 %</t>
        </is>
      </c>
      <c r="L89" s="18" t="n">
        <v>9.4</v>
      </c>
      <c r="M89" s="9" t="n">
        <v>15.1</v>
      </c>
      <c r="N89" s="10" t="inlineStr">
        <is>
          <t>PROPOSÉ</t>
        </is>
      </c>
      <c r="O89" s="11">
        <f>IF(M89="","",M89-L89)</f>
        <v/>
      </c>
      <c r="P89" s="12">
        <f>IF(OR(M89="",M89=0),"",(M89-L89)/M89)</f>
        <v/>
      </c>
      <c r="Q89" s="13">
        <f>IF(OR(M89="",L89=0,L89=""),"",M89/L89)</f>
        <v/>
      </c>
      <c r="R89" s="11">
        <f>IF(M89="","",M89*1.2)</f>
        <v/>
      </c>
      <c r="S89" s="14" t="n"/>
      <c r="T89" s="15" t="n"/>
    </row>
    <row r="90">
      <c r="A90" s="6" t="inlineStr">
        <is>
          <t>PROD-0410</t>
        </is>
      </c>
      <c r="B90" s="6" t="inlineStr">
        <is>
          <t>Vodka Normande 40° 20 cl</t>
        </is>
      </c>
      <c r="C90" s="6" t="inlineStr">
        <is>
          <t>BOISSON_ALCOOLISEE</t>
        </is>
      </c>
      <c r="D90" s="6" t="inlineStr">
        <is>
          <t>SPIRITUEUX</t>
        </is>
      </c>
      <c r="E90" s="6" t="inlineStr">
        <is>
          <t>SIGNATURE</t>
        </is>
      </c>
      <c r="F90" s="6" t="inlineStr">
        <is>
          <t>DISTILLERIE C'EST NOUS</t>
        </is>
      </c>
      <c r="G90" s="6" t="inlineStr">
        <is>
          <t>NORMAND DIRECT TERROIR</t>
        </is>
      </c>
      <c r="H90" s="6" t="inlineStr"/>
      <c r="I90" s="6" t="inlineStr">
        <is>
          <t>200 ml</t>
        </is>
      </c>
      <c r="J90" s="6" t="inlineStr">
        <is>
          <t>OUI</t>
        </is>
      </c>
      <c r="K90" s="7" t="inlineStr">
        <is>
          <t>20 %</t>
        </is>
      </c>
      <c r="L90" s="8" t="n">
        <v>9.4</v>
      </c>
      <c r="M90" s="9" t="n">
        <v>15.1</v>
      </c>
      <c r="N90" s="10" t="inlineStr">
        <is>
          <t>PROPOSÉ</t>
        </is>
      </c>
      <c r="O90" s="11">
        <f>IF(M90="","",M90-L90)</f>
        <v/>
      </c>
      <c r="P90" s="12">
        <f>IF(OR(M90="",M90=0),"",(M90-L90)/M90)</f>
        <v/>
      </c>
      <c r="Q90" s="13">
        <f>IF(OR(M90="",L90=0,L90=""),"",M90/L90)</f>
        <v/>
      </c>
      <c r="R90" s="11">
        <f>IF(M90="","",M90*1.2)</f>
        <v/>
      </c>
      <c r="S90" s="14" t="n"/>
      <c r="T90" s="15" t="n"/>
    </row>
    <row r="91">
      <c r="A91" s="16" t="inlineStr">
        <is>
          <t>PROD-0399</t>
        </is>
      </c>
      <c r="B91" s="16" t="inlineStr">
        <is>
          <t>PINOT NOIR 50 CL rouge 12 ° en coffret de 6</t>
        </is>
      </c>
      <c r="C91" s="16" t="inlineStr">
        <is>
          <t>BOISSON_ALCOOLISEE</t>
        </is>
      </c>
      <c r="D91" s="16" t="inlineStr">
        <is>
          <t>VIN</t>
        </is>
      </c>
      <c r="E91" s="16" t="inlineStr">
        <is>
          <t>SIGNATURE</t>
        </is>
      </c>
      <c r="F91" s="16" t="inlineStr">
        <is>
          <t>LES ARPENTS DU SOLEIL</t>
        </is>
      </c>
      <c r="G91" s="16" t="inlineStr">
        <is>
          <t>NORMAND DIRECT TERROIR</t>
        </is>
      </c>
      <c r="H91" s="16" t="inlineStr"/>
      <c r="I91" s="16" t="inlineStr">
        <is>
          <t>500 ml</t>
        </is>
      </c>
      <c r="J91" s="16" t="inlineStr">
        <is>
          <t>OUI</t>
        </is>
      </c>
      <c r="K91" s="17" t="inlineStr">
        <is>
          <t>20 %</t>
        </is>
      </c>
      <c r="L91" s="18" t="n">
        <v>8.800000000000001</v>
      </c>
      <c r="M91" s="9" t="n">
        <v>14.2</v>
      </c>
      <c r="N91" s="10" t="inlineStr">
        <is>
          <t>PROPOSÉ</t>
        </is>
      </c>
      <c r="O91" s="11">
        <f>IF(M91="","",M91-L91)</f>
        <v/>
      </c>
      <c r="P91" s="12">
        <f>IF(OR(M91="",M91=0),"",(M91-L91)/M91)</f>
        <v/>
      </c>
      <c r="Q91" s="13">
        <f>IF(OR(M91="",L91=0,L91=""),"",M91/L91)</f>
        <v/>
      </c>
      <c r="R91" s="11">
        <f>IF(M91="","",M91*1.2)</f>
        <v/>
      </c>
      <c r="S91" s="14" t="n"/>
      <c r="T91" s="15" t="n"/>
    </row>
    <row r="92">
      <c r="A92" s="6" t="inlineStr">
        <is>
          <t>PROD-0402</t>
        </is>
      </c>
      <c r="B92" s="6" t="inlineStr">
        <is>
          <t>PINOT Gris 50 CL en coffret de 6</t>
        </is>
      </c>
      <c r="C92" s="6" t="inlineStr">
        <is>
          <t>BOISSON_ALCOOLISEE</t>
        </is>
      </c>
      <c r="D92" s="6" t="inlineStr">
        <is>
          <t>VIN</t>
        </is>
      </c>
      <c r="E92" s="6" t="inlineStr">
        <is>
          <t>SIGNATURE</t>
        </is>
      </c>
      <c r="F92" s="6" t="inlineStr">
        <is>
          <t>LES ARPENTS DU SOLEIL</t>
        </is>
      </c>
      <c r="G92" s="6" t="inlineStr">
        <is>
          <t>NORMAND DIRECT TERROIR</t>
        </is>
      </c>
      <c r="H92" s="6" t="inlineStr"/>
      <c r="I92" s="6" t="inlineStr">
        <is>
          <t>500 ml</t>
        </is>
      </c>
      <c r="J92" s="6" t="inlineStr">
        <is>
          <t>OUI</t>
        </is>
      </c>
      <c r="K92" s="7" t="inlineStr">
        <is>
          <t>20 %</t>
        </is>
      </c>
      <c r="L92" s="8" t="n">
        <v>8.800000000000001</v>
      </c>
      <c r="M92" s="9" t="n">
        <v>14.2</v>
      </c>
      <c r="N92" s="10" t="inlineStr">
        <is>
          <t>PROPOSÉ</t>
        </is>
      </c>
      <c r="O92" s="11">
        <f>IF(M92="","",M92-L92)</f>
        <v/>
      </c>
      <c r="P92" s="12">
        <f>IF(OR(M92="",M92=0),"",(M92-L92)/M92)</f>
        <v/>
      </c>
      <c r="Q92" s="13">
        <f>IF(OR(M92="",L92=0,L92=""),"",M92/L92)</f>
        <v/>
      </c>
      <c r="R92" s="11">
        <f>IF(M92="","",M92*1.2)</f>
        <v/>
      </c>
      <c r="S92" s="14" t="n"/>
      <c r="T92" s="15" t="n"/>
    </row>
    <row r="93">
      <c r="A93" s="16" t="inlineStr">
        <is>
          <t>PROD-0412</t>
        </is>
      </c>
      <c r="B93" s="16" t="inlineStr">
        <is>
          <t>Liqueur de café Cold brew 25° 20 cl</t>
        </is>
      </c>
      <c r="C93" s="16" t="inlineStr">
        <is>
          <t>BOISSON_ALCOOLISEE</t>
        </is>
      </c>
      <c r="D93" s="16" t="inlineStr">
        <is>
          <t>LIQUEUR</t>
        </is>
      </c>
      <c r="E93" s="16" t="inlineStr">
        <is>
          <t>SIGNATURE</t>
        </is>
      </c>
      <c r="F93" s="16" t="inlineStr">
        <is>
          <t>DISTILLERIE C'EST NOUS</t>
        </is>
      </c>
      <c r="G93" s="16" t="inlineStr">
        <is>
          <t>NORMAND DIRECT TERROIR</t>
        </is>
      </c>
      <c r="H93" s="16" t="inlineStr"/>
      <c r="I93" s="16" t="inlineStr">
        <is>
          <t>200 ml</t>
        </is>
      </c>
      <c r="J93" s="16" t="inlineStr">
        <is>
          <t>OUI</t>
        </is>
      </c>
      <c r="K93" s="17" t="inlineStr">
        <is>
          <t>20 %</t>
        </is>
      </c>
      <c r="L93" s="18" t="n">
        <v>8.5</v>
      </c>
      <c r="M93" s="9" t="n">
        <v>14.1</v>
      </c>
      <c r="N93" s="10" t="inlineStr">
        <is>
          <t>PROPOSÉ</t>
        </is>
      </c>
      <c r="O93" s="11">
        <f>IF(M93="","",M93-L93)</f>
        <v/>
      </c>
      <c r="P93" s="12">
        <f>IF(OR(M93="",M93=0),"",(M93-L93)/M93)</f>
        <v/>
      </c>
      <c r="Q93" s="13">
        <f>IF(OR(M93="",L93=0,L93=""),"",M93/L93)</f>
        <v/>
      </c>
      <c r="R93" s="11">
        <f>IF(M93="","",M93*1.2)</f>
        <v/>
      </c>
      <c r="S93" s="14" t="n"/>
      <c r="T93" s="15" t="n"/>
    </row>
    <row r="94">
      <c r="A94" s="6" t="inlineStr">
        <is>
          <t>PROD-0319</t>
        </is>
      </c>
      <c r="B94" s="6" t="inlineStr">
        <is>
          <t>Cidre bio micro cuvée N°2 cidre dégorgé 75 cl 2020</t>
        </is>
      </c>
      <c r="C94" s="6" t="inlineStr">
        <is>
          <t>BOISSON_ALCOOLISEE</t>
        </is>
      </c>
      <c r="D94" s="6" t="inlineStr">
        <is>
          <t>CIDRE</t>
        </is>
      </c>
      <c r="E94" s="6" t="inlineStr">
        <is>
          <t>SIGNATURE</t>
        </is>
      </c>
      <c r="F94" s="6" t="inlineStr">
        <is>
          <t>MAISON HEROUT</t>
        </is>
      </c>
      <c r="G94" s="6" t="inlineStr">
        <is>
          <t>NORMAND DIRECT TERROIR</t>
        </is>
      </c>
      <c r="H94" s="6" t="inlineStr"/>
      <c r="I94" s="6" t="inlineStr">
        <is>
          <t>750 ml</t>
        </is>
      </c>
      <c r="J94" s="6" t="inlineStr">
        <is>
          <t>OUI</t>
        </is>
      </c>
      <c r="K94" s="7" t="inlineStr">
        <is>
          <t>20 %</t>
        </is>
      </c>
      <c r="L94" s="8" t="n">
        <v>8.359999999999999</v>
      </c>
      <c r="M94" s="9" t="n">
        <v>15</v>
      </c>
      <c r="N94" s="10" t="inlineStr">
        <is>
          <t>PROPOSÉ</t>
        </is>
      </c>
      <c r="O94" s="11">
        <f>IF(M94="","",M94-L94)</f>
        <v/>
      </c>
      <c r="P94" s="12">
        <f>IF(OR(M94="",M94=0),"",(M94-L94)/M94)</f>
        <v/>
      </c>
      <c r="Q94" s="13">
        <f>IF(OR(M94="",L94=0,L94=""),"",M94/L94)</f>
        <v/>
      </c>
      <c r="R94" s="11">
        <f>IF(M94="","",M94*1.2)</f>
        <v/>
      </c>
      <c r="S94" s="14" t="n"/>
      <c r="T94" s="15" t="n"/>
    </row>
    <row r="95">
      <c r="A95" s="16" t="inlineStr">
        <is>
          <t>PROD-0688</t>
        </is>
      </c>
      <c r="B95" s="16" t="inlineStr">
        <is>
          <t>Cidre de glace</t>
        </is>
      </c>
      <c r="C95" s="16" t="inlineStr">
        <is>
          <t>BOISSON_ALCOOLISEE</t>
        </is>
      </c>
      <c r="D95" s="16" t="inlineStr">
        <is>
          <t>CIDRE_DE_GLACE</t>
        </is>
      </c>
      <c r="E95" s="16" t="inlineStr">
        <is>
          <t>SIGNATURE</t>
        </is>
      </c>
      <c r="F95" s="16" t="inlineStr">
        <is>
          <t>SARL DOMAINE DE BILLY</t>
        </is>
      </c>
      <c r="G95" s="16" t="inlineStr">
        <is>
          <t>SARL DOMAINE DE BILLY</t>
        </is>
      </c>
      <c r="H95" s="16" t="inlineStr">
        <is>
          <t>20 cl</t>
        </is>
      </c>
      <c r="I95" s="16" t="inlineStr">
        <is>
          <t>200 ml</t>
        </is>
      </c>
      <c r="J95" s="16" t="inlineStr">
        <is>
          <t>OUI</t>
        </is>
      </c>
      <c r="K95" s="20" t="inlineStr">
        <is>
          <t>À CONFIRMER</t>
        </is>
      </c>
      <c r="L95" s="18" t="n">
        <v>8</v>
      </c>
      <c r="M95" s="9" t="n">
        <v>13.6</v>
      </c>
      <c r="N95" s="10" t="inlineStr">
        <is>
          <t>PROPOSÉ</t>
        </is>
      </c>
      <c r="O95" s="11">
        <f>IF(M95="","",M95-L95)</f>
        <v/>
      </c>
      <c r="P95" s="12">
        <f>IF(OR(M95="",M95=0),"",(M95-L95)/M95)</f>
        <v/>
      </c>
      <c r="Q95" s="13">
        <f>IF(OR(M95="",L95=0,L95=""),"",M95/L95)</f>
        <v/>
      </c>
      <c r="R95" s="11">
        <f>IF(M95="","","TVA à confirmer")</f>
        <v/>
      </c>
      <c r="S95" s="14" t="n"/>
      <c r="T95" s="15" t="n"/>
    </row>
    <row r="96">
      <c r="A96" s="6" t="inlineStr">
        <is>
          <t>PROD-0351</t>
        </is>
      </c>
      <c r="B96" s="6" t="inlineStr">
        <is>
          <t>Cidre Cotentin extra brut selection 75 cl</t>
        </is>
      </c>
      <c r="C96" s="6" t="inlineStr">
        <is>
          <t>BOISSON_ALCOOLISEE</t>
        </is>
      </c>
      <c r="D96" s="6" t="inlineStr">
        <is>
          <t>CIDRE</t>
        </is>
      </c>
      <c r="E96" s="6" t="inlineStr">
        <is>
          <t>SIGNATURE</t>
        </is>
      </c>
      <c r="F96" s="6" t="inlineStr">
        <is>
          <t>GAEC DE CLAIDS</t>
        </is>
      </c>
      <c r="G96" s="6" t="inlineStr">
        <is>
          <t>NORMAND DIRECT TERROIR</t>
        </is>
      </c>
      <c r="H96" s="6" t="inlineStr"/>
      <c r="I96" s="6" t="inlineStr">
        <is>
          <t>750 ml</t>
        </is>
      </c>
      <c r="J96" s="6" t="inlineStr">
        <is>
          <t>OUI</t>
        </is>
      </c>
      <c r="K96" s="7" t="inlineStr">
        <is>
          <t>20 %</t>
        </is>
      </c>
      <c r="L96" s="8" t="n">
        <v>7.6</v>
      </c>
      <c r="M96" s="9" t="n">
        <v>14.8</v>
      </c>
      <c r="N96" s="10" t="inlineStr">
        <is>
          <t>PROPOSÉ</t>
        </is>
      </c>
      <c r="O96" s="11">
        <f>IF(M96="","",M96-L96)</f>
        <v/>
      </c>
      <c r="P96" s="12">
        <f>IF(OR(M96="",M96=0),"",(M96-L96)/M96)</f>
        <v/>
      </c>
      <c r="Q96" s="13">
        <f>IF(OR(M96="",L96=0,L96=""),"",M96/L96)</f>
        <v/>
      </c>
      <c r="R96" s="11">
        <f>IF(M96="","",M96*1.2)</f>
        <v/>
      </c>
      <c r="S96" s="14" t="n"/>
      <c r="T96" s="15" t="n"/>
    </row>
    <row r="97">
      <c r="A97" s="16" t="inlineStr">
        <is>
          <t>PROD-0317</t>
        </is>
      </c>
      <c r="B97" s="16" t="inlineStr">
        <is>
          <t>Cidre bio micro cuvée N°1 vieilli fût chêne75 cl 2021</t>
        </is>
      </c>
      <c r="C97" s="16" t="inlineStr">
        <is>
          <t>BOISSON_ALCOOLISEE</t>
        </is>
      </c>
      <c r="D97" s="16" t="inlineStr">
        <is>
          <t>CIDRE</t>
        </is>
      </c>
      <c r="E97" s="16" t="inlineStr">
        <is>
          <t>SIGNATURE</t>
        </is>
      </c>
      <c r="F97" s="16" t="inlineStr">
        <is>
          <t>MAISON HEROUT</t>
        </is>
      </c>
      <c r="G97" s="16" t="inlineStr">
        <is>
          <t>NORMAND DIRECT TERROIR</t>
        </is>
      </c>
      <c r="H97" s="16" t="inlineStr"/>
      <c r="I97" s="16" t="inlineStr">
        <is>
          <t>750 ml</t>
        </is>
      </c>
      <c r="J97" s="16" t="inlineStr">
        <is>
          <t>OUI</t>
        </is>
      </c>
      <c r="K97" s="17" t="inlineStr">
        <is>
          <t>20 %</t>
        </is>
      </c>
      <c r="L97" s="18" t="n">
        <v>7.48</v>
      </c>
      <c r="M97" s="9" t="n">
        <v>14.6</v>
      </c>
      <c r="N97" s="10" t="inlineStr">
        <is>
          <t>PROPOSÉ</t>
        </is>
      </c>
      <c r="O97" s="11">
        <f>IF(M97="","",M97-L97)</f>
        <v/>
      </c>
      <c r="P97" s="12">
        <f>IF(OR(M97="",M97=0),"",(M97-L97)/M97)</f>
        <v/>
      </c>
      <c r="Q97" s="13">
        <f>IF(OR(M97="",L97=0,L97=""),"",M97/L97)</f>
        <v/>
      </c>
      <c r="R97" s="11">
        <f>IF(M97="","",M97*1.2)</f>
        <v/>
      </c>
      <c r="S97" s="14" t="n"/>
      <c r="T97" s="15" t="n"/>
    </row>
    <row r="98">
      <c r="A98" s="6" t="inlineStr">
        <is>
          <t>PROD-0321</t>
        </is>
      </c>
      <c r="B98" s="6" t="inlineStr">
        <is>
          <t>Cidre bio micro cuvée N°4 Variétés acidulées</t>
        </is>
      </c>
      <c r="C98" s="6" t="inlineStr">
        <is>
          <t>BOISSON_ALCOOLISEE</t>
        </is>
      </c>
      <c r="D98" s="6" t="inlineStr">
        <is>
          <t>CIDRE</t>
        </is>
      </c>
      <c r="E98" s="6" t="inlineStr">
        <is>
          <t>SIGNATURE</t>
        </is>
      </c>
      <c r="F98" s="6" t="inlineStr">
        <is>
          <t>MAISON HEROUT</t>
        </is>
      </c>
      <c r="G98" s="6" t="inlineStr">
        <is>
          <t>NORMAND DIRECT TERROIR</t>
        </is>
      </c>
      <c r="H98" s="6" t="inlineStr"/>
      <c r="I98" s="6" t="inlineStr"/>
      <c r="J98" s="6" t="inlineStr">
        <is>
          <t>OUI</t>
        </is>
      </c>
      <c r="K98" s="7" t="inlineStr">
        <is>
          <t>20 %</t>
        </is>
      </c>
      <c r="L98" s="8" t="n">
        <v>7.15</v>
      </c>
      <c r="M98" s="9" t="n">
        <v>13.9</v>
      </c>
      <c r="N98" s="10" t="inlineStr">
        <is>
          <t>PROPOSÉ</t>
        </is>
      </c>
      <c r="O98" s="11">
        <f>IF(M98="","",M98-L98)</f>
        <v/>
      </c>
      <c r="P98" s="12">
        <f>IF(OR(M98="",M98=0),"",(M98-L98)/M98)</f>
        <v/>
      </c>
      <c r="Q98" s="13">
        <f>IF(OR(M98="",L98=0,L98=""),"",M98/L98)</f>
        <v/>
      </c>
      <c r="R98" s="11">
        <f>IF(M98="","",M98*1.2)</f>
        <v/>
      </c>
      <c r="S98" s="14" t="n"/>
      <c r="T98" s="15" t="n"/>
    </row>
    <row r="99">
      <c r="A99" s="16" t="inlineStr">
        <is>
          <t>PROD-0322</t>
        </is>
      </c>
      <c r="B99" s="16" t="inlineStr">
        <is>
          <t>Cidre bio micro cuvée N°5 assemblage 50% amer 50% acidulé</t>
        </is>
      </c>
      <c r="C99" s="16" t="inlineStr">
        <is>
          <t>BOISSON_ALCOOLISEE</t>
        </is>
      </c>
      <c r="D99" s="16" t="inlineStr">
        <is>
          <t>CIDRE</t>
        </is>
      </c>
      <c r="E99" s="16" t="inlineStr">
        <is>
          <t>SIGNATURE</t>
        </is>
      </c>
      <c r="F99" s="16" t="inlineStr">
        <is>
          <t>MAISON HEROUT</t>
        </is>
      </c>
      <c r="G99" s="16" t="inlineStr">
        <is>
          <t>NORMAND DIRECT TERROIR</t>
        </is>
      </c>
      <c r="H99" s="16" t="inlineStr"/>
      <c r="I99" s="16" t="inlineStr"/>
      <c r="J99" s="16" t="inlineStr">
        <is>
          <t>OUI</t>
        </is>
      </c>
      <c r="K99" s="17" t="inlineStr">
        <is>
          <t>20 %</t>
        </is>
      </c>
      <c r="L99" s="18" t="n">
        <v>7.15</v>
      </c>
      <c r="M99" s="9" t="n">
        <v>13.9</v>
      </c>
      <c r="N99" s="10" t="inlineStr">
        <is>
          <t>PROPOSÉ</t>
        </is>
      </c>
      <c r="O99" s="11">
        <f>IF(M99="","",M99-L99)</f>
        <v/>
      </c>
      <c r="P99" s="12">
        <f>IF(OR(M99="",M99=0),"",(M99-L99)/M99)</f>
        <v/>
      </c>
      <c r="Q99" s="13">
        <f>IF(OR(M99="",L99=0,L99=""),"",M99/L99)</f>
        <v/>
      </c>
      <c r="R99" s="11">
        <f>IF(M99="","",M99*1.2)</f>
        <v/>
      </c>
      <c r="S99" s="14" t="n"/>
      <c r="T99" s="15" t="n"/>
    </row>
    <row r="100">
      <c r="A100" s="6" t="inlineStr">
        <is>
          <t>PROD-0401</t>
        </is>
      </c>
      <c r="B100" s="6" t="inlineStr">
        <is>
          <t>AUXERROIS 50 CL blanc 12 °  en coffret de 6</t>
        </is>
      </c>
      <c r="C100" s="6" t="inlineStr">
        <is>
          <t>BOISSON_ALCOOLISEE</t>
        </is>
      </c>
      <c r="D100" s="6" t="inlineStr">
        <is>
          <t>VIN</t>
        </is>
      </c>
      <c r="E100" s="6" t="inlineStr">
        <is>
          <t>SIGNATURE</t>
        </is>
      </c>
      <c r="F100" s="6" t="inlineStr">
        <is>
          <t>LES ARPENTS DU SOLEIL</t>
        </is>
      </c>
      <c r="G100" s="6" t="inlineStr">
        <is>
          <t>NORMAND DIRECT TERROIR</t>
        </is>
      </c>
      <c r="H100" s="6" t="inlineStr"/>
      <c r="I100" s="6" t="inlineStr">
        <is>
          <t>500 ml</t>
        </is>
      </c>
      <c r="J100" s="6" t="inlineStr">
        <is>
          <t>OUI</t>
        </is>
      </c>
      <c r="K100" s="7" t="inlineStr">
        <is>
          <t>20 %</t>
        </is>
      </c>
      <c r="L100" s="8" t="n">
        <v>6.75</v>
      </c>
      <c r="M100" s="9" t="n">
        <v>11.8</v>
      </c>
      <c r="N100" s="10" t="inlineStr">
        <is>
          <t>PROPOSÉ</t>
        </is>
      </c>
      <c r="O100" s="11">
        <f>IF(M100="","",M100-L100)</f>
        <v/>
      </c>
      <c r="P100" s="12">
        <f>IF(OR(M100="",M100=0),"",(M100-L100)/M100)</f>
        <v/>
      </c>
      <c r="Q100" s="13">
        <f>IF(OR(M100="",L100=0,L100=""),"",M100/L100)</f>
        <v/>
      </c>
      <c r="R100" s="11">
        <f>IF(M100="","",M100*1.2)</f>
        <v/>
      </c>
      <c r="S100" s="14" t="n"/>
      <c r="T100" s="15" t="n"/>
    </row>
    <row r="101">
      <c r="A101" s="16" t="inlineStr">
        <is>
          <t>PROD-0312</t>
        </is>
      </c>
      <c r="B101" s="16" t="inlineStr">
        <is>
          <t>Cidre bio Cotentin AOC brut  75 cl</t>
        </is>
      </c>
      <c r="C101" s="16" t="inlineStr">
        <is>
          <t>BOISSON_ALCOOLISEE</t>
        </is>
      </c>
      <c r="D101" s="16" t="inlineStr">
        <is>
          <t>CIDRE</t>
        </is>
      </c>
      <c r="E101" s="16" t="inlineStr">
        <is>
          <t>SIGNATURE</t>
        </is>
      </c>
      <c r="F101" s="16" t="inlineStr">
        <is>
          <t>MAISON HEROUT</t>
        </is>
      </c>
      <c r="G101" s="16" t="inlineStr">
        <is>
          <t>NORMAND DIRECT TERROIR</t>
        </is>
      </c>
      <c r="H101" s="16" t="inlineStr"/>
      <c r="I101" s="16" t="inlineStr">
        <is>
          <t>750 ml</t>
        </is>
      </c>
      <c r="J101" s="16" t="inlineStr">
        <is>
          <t>OUI</t>
        </is>
      </c>
      <c r="K101" s="17" t="inlineStr">
        <is>
          <t>20 %</t>
        </is>
      </c>
      <c r="L101" s="18" t="n">
        <v>4.62</v>
      </c>
      <c r="M101" s="9" t="n">
        <v>9</v>
      </c>
      <c r="N101" s="10" t="inlineStr">
        <is>
          <t>PROPOSÉ</t>
        </is>
      </c>
      <c r="O101" s="11">
        <f>IF(M101="","",M101-L101)</f>
        <v/>
      </c>
      <c r="P101" s="12">
        <f>IF(OR(M101="",M101=0),"",(M101-L101)/M101)</f>
        <v/>
      </c>
      <c r="Q101" s="13">
        <f>IF(OR(M101="",L101=0,L101=""),"",M101/L101)</f>
        <v/>
      </c>
      <c r="R101" s="11">
        <f>IF(M101="","",M101*1.2)</f>
        <v/>
      </c>
      <c r="S101" s="14" t="n"/>
      <c r="T101" s="15" t="n"/>
    </row>
    <row r="102">
      <c r="A102" s="6" t="inlineStr">
        <is>
          <t>PROD-0414</t>
        </is>
      </c>
      <c r="B102" s="6" t="inlineStr">
        <is>
          <t>Rhum botanique "Jardin à l'Anglaise" 70 cl 40° Nouveau design</t>
        </is>
      </c>
      <c r="C102" s="6" t="inlineStr">
        <is>
          <t>BOISSON_ALCOOLISEE</t>
        </is>
      </c>
      <c r="D102" s="6" t="inlineStr">
        <is>
          <t>SPIRITUEUX</t>
        </is>
      </c>
      <c r="E102" s="6" t="inlineStr">
        <is>
          <t>PREMIUM</t>
        </is>
      </c>
      <c r="F102" s="6" t="inlineStr">
        <is>
          <t>DISTILLERIE C'EST NOUS</t>
        </is>
      </c>
      <c r="G102" s="6" t="inlineStr">
        <is>
          <t>NORMAND DIRECT TERROIR</t>
        </is>
      </c>
      <c r="H102" s="6" t="inlineStr"/>
      <c r="I102" s="6" t="inlineStr">
        <is>
          <t>700 ml</t>
        </is>
      </c>
      <c r="J102" s="6" t="inlineStr">
        <is>
          <t>OUI</t>
        </is>
      </c>
      <c r="K102" s="7" t="inlineStr">
        <is>
          <t>20 %</t>
        </is>
      </c>
      <c r="L102" s="8" t="n">
        <v>24.85</v>
      </c>
      <c r="M102" s="9" t="n">
        <v>37</v>
      </c>
      <c r="N102" s="10" t="inlineStr">
        <is>
          <t>PROPOSÉ</t>
        </is>
      </c>
      <c r="O102" s="11">
        <f>IF(M102="","",M102-L102)</f>
        <v/>
      </c>
      <c r="P102" s="12">
        <f>IF(OR(M102="",M102=0),"",(M102-L102)/M102)</f>
        <v/>
      </c>
      <c r="Q102" s="13">
        <f>IF(OR(M102="",L102=0,L102=""),"",M102/L102)</f>
        <v/>
      </c>
      <c r="R102" s="11">
        <f>IF(M102="","",M102*1.2)</f>
        <v/>
      </c>
      <c r="S102" s="14" t="n"/>
      <c r="T102" s="15" t="n"/>
    </row>
    <row r="103">
      <c r="A103" s="16" t="inlineStr">
        <is>
          <t>PROD-0415</t>
        </is>
      </c>
      <c r="B103" s="16" t="inlineStr">
        <is>
          <t>Rhum botanique "Le chaleureux" 70 cl 40° Nouveau design</t>
        </is>
      </c>
      <c r="C103" s="16" t="inlineStr">
        <is>
          <t>BOISSON_ALCOOLISEE</t>
        </is>
      </c>
      <c r="D103" s="16" t="inlineStr">
        <is>
          <t>SPIRITUEUX</t>
        </is>
      </c>
      <c r="E103" s="16" t="inlineStr">
        <is>
          <t>PREMIUM</t>
        </is>
      </c>
      <c r="F103" s="16" t="inlineStr">
        <is>
          <t>DISTILLERIE C'EST NOUS</t>
        </is>
      </c>
      <c r="G103" s="16" t="inlineStr">
        <is>
          <t>NORMAND DIRECT TERROIR</t>
        </is>
      </c>
      <c r="H103" s="16" t="inlineStr"/>
      <c r="I103" s="16" t="inlineStr">
        <is>
          <t>700 ml</t>
        </is>
      </c>
      <c r="J103" s="16" t="inlineStr">
        <is>
          <t>OUI</t>
        </is>
      </c>
      <c r="K103" s="17" t="inlineStr">
        <is>
          <t>20 %</t>
        </is>
      </c>
      <c r="L103" s="18" t="n">
        <v>24.85</v>
      </c>
      <c r="M103" s="9" t="n">
        <v>37</v>
      </c>
      <c r="N103" s="10" t="inlineStr">
        <is>
          <t>PROPOSÉ</t>
        </is>
      </c>
      <c r="O103" s="11">
        <f>IF(M103="","",M103-L103)</f>
        <v/>
      </c>
      <c r="P103" s="12">
        <f>IF(OR(M103="",M103=0),"",(M103-L103)/M103)</f>
        <v/>
      </c>
      <c r="Q103" s="13">
        <f>IF(OR(M103="",L103=0,L103=""),"",M103/L103)</f>
        <v/>
      </c>
      <c r="R103" s="11">
        <f>IF(M103="","",M103*1.2)</f>
        <v/>
      </c>
      <c r="S103" s="14" t="n"/>
      <c r="T103" s="15" t="n"/>
    </row>
    <row r="104">
      <c r="A104" s="6" t="inlineStr">
        <is>
          <t>PROD-0404</t>
        </is>
      </c>
      <c r="B104" s="6" t="inlineStr">
        <is>
          <t>Gin 40° 70 cl   Echantillon gratuit pour 6 sur demande</t>
        </is>
      </c>
      <c r="C104" s="6" t="inlineStr">
        <is>
          <t>BOISSON_ALCOOLISEE</t>
        </is>
      </c>
      <c r="D104" s="6" t="inlineStr">
        <is>
          <t>SPIRITUEUX</t>
        </is>
      </c>
      <c r="E104" s="6" t="inlineStr">
        <is>
          <t>PREMIUM</t>
        </is>
      </c>
      <c r="F104" s="6" t="inlineStr">
        <is>
          <t>DISTILLERIE C'EST NOUS</t>
        </is>
      </c>
      <c r="G104" s="6" t="inlineStr">
        <is>
          <t>NORMAND DIRECT TERROIR</t>
        </is>
      </c>
      <c r="H104" s="6" t="inlineStr"/>
      <c r="I104" s="6" t="inlineStr">
        <is>
          <t>700 ml</t>
        </is>
      </c>
      <c r="J104" s="6" t="inlineStr">
        <is>
          <t>OUI</t>
        </is>
      </c>
      <c r="K104" s="7" t="inlineStr">
        <is>
          <t>20 %</t>
        </is>
      </c>
      <c r="L104" s="8" t="n">
        <v>23.25</v>
      </c>
      <c r="M104" s="9" t="n">
        <v>34.5</v>
      </c>
      <c r="N104" s="10" t="inlineStr">
        <is>
          <t>PROPOSÉ</t>
        </is>
      </c>
      <c r="O104" s="11">
        <f>IF(M104="","",M104-L104)</f>
        <v/>
      </c>
      <c r="P104" s="12">
        <f>IF(OR(M104="",M104=0),"",(M104-L104)/M104)</f>
        <v/>
      </c>
      <c r="Q104" s="13">
        <f>IF(OR(M104="",L104=0,L104=""),"",M104/L104)</f>
        <v/>
      </c>
      <c r="R104" s="11">
        <f>IF(M104="","",M104*1.2)</f>
        <v/>
      </c>
      <c r="S104" s="14" t="n"/>
      <c r="T104" s="15" t="n"/>
    </row>
    <row r="105">
      <c r="A105" s="16" t="inlineStr">
        <is>
          <t>PROD-0406</t>
        </is>
      </c>
      <c r="B105" s="16" t="inlineStr">
        <is>
          <t>Gin 40° 70 cl   Concombre-basilic-pomme Echantillon gratuit sur demande</t>
        </is>
      </c>
      <c r="C105" s="16" t="inlineStr">
        <is>
          <t>BOISSON_ALCOOLISEE</t>
        </is>
      </c>
      <c r="D105" s="16" t="inlineStr">
        <is>
          <t>SPIRITUEUX</t>
        </is>
      </c>
      <c r="E105" s="16" t="inlineStr">
        <is>
          <t>PREMIUM</t>
        </is>
      </c>
      <c r="F105" s="16" t="inlineStr">
        <is>
          <t>DISTILLERIE C'EST NOUS</t>
        </is>
      </c>
      <c r="G105" s="16" t="inlineStr">
        <is>
          <t>NORMAND DIRECT TERROIR</t>
        </is>
      </c>
      <c r="H105" s="16" t="inlineStr"/>
      <c r="I105" s="16" t="inlineStr">
        <is>
          <t>700 ml</t>
        </is>
      </c>
      <c r="J105" s="16" t="inlineStr">
        <is>
          <t>OUI</t>
        </is>
      </c>
      <c r="K105" s="17" t="inlineStr">
        <is>
          <t>20 %</t>
        </is>
      </c>
      <c r="L105" s="18" t="n">
        <v>23.25</v>
      </c>
      <c r="M105" s="9" t="n">
        <v>34.5</v>
      </c>
      <c r="N105" s="10" t="inlineStr">
        <is>
          <t>PROPOSÉ</t>
        </is>
      </c>
      <c r="O105" s="11">
        <f>IF(M105="","",M105-L105)</f>
        <v/>
      </c>
      <c r="P105" s="12">
        <f>IF(OR(M105="",M105=0),"",(M105-L105)/M105)</f>
        <v/>
      </c>
      <c r="Q105" s="13">
        <f>IF(OR(M105="",L105=0,L105=""),"",M105/L105)</f>
        <v/>
      </c>
      <c r="R105" s="11">
        <f>IF(M105="","",M105*1.2)</f>
        <v/>
      </c>
      <c r="S105" s="14" t="n"/>
      <c r="T105" s="15" t="n"/>
    </row>
    <row r="106">
      <c r="A106" s="6" t="inlineStr">
        <is>
          <t>PROD-0306</t>
        </is>
      </c>
      <c r="B106" s="6" t="inlineStr">
        <is>
          <t>Calva Arrangé Banane extra mûre vanille 18 mois 50 cl</t>
        </is>
      </c>
      <c r="C106" s="6" t="inlineStr">
        <is>
          <t>BOISSON_ALCOOLISEE</t>
        </is>
      </c>
      <c r="D106" s="6" t="inlineStr">
        <is>
          <t>SPIRITUEUX_POMME</t>
        </is>
      </c>
      <c r="E106" s="6" t="inlineStr">
        <is>
          <t>PREMIUM</t>
        </is>
      </c>
      <c r="F106" s="6" t="inlineStr">
        <is>
          <t>POM’ POM’</t>
        </is>
      </c>
      <c r="G106" s="6" t="inlineStr">
        <is>
          <t>NORMAND DIRECT TERROIR</t>
        </is>
      </c>
      <c r="H106" s="6" t="inlineStr"/>
      <c r="I106" s="6" t="inlineStr">
        <is>
          <t>500 ml</t>
        </is>
      </c>
      <c r="J106" s="6" t="inlineStr">
        <is>
          <t>OUI</t>
        </is>
      </c>
      <c r="K106" s="7" t="inlineStr">
        <is>
          <t>20 %</t>
        </is>
      </c>
      <c r="L106" s="8" t="n">
        <v>22.9</v>
      </c>
      <c r="M106" s="9" t="n">
        <v>34</v>
      </c>
      <c r="N106" s="10" t="inlineStr">
        <is>
          <t>PROPOSÉ</t>
        </is>
      </c>
      <c r="O106" s="11">
        <f>IF(M106="","",M106-L106)</f>
        <v/>
      </c>
      <c r="P106" s="12">
        <f>IF(OR(M106="",M106=0),"",(M106-L106)/M106)</f>
        <v/>
      </c>
      <c r="Q106" s="13">
        <f>IF(OR(M106="",L106=0,L106=""),"",M106/L106)</f>
        <v/>
      </c>
      <c r="R106" s="11">
        <f>IF(M106="","",M106*1.2)</f>
        <v/>
      </c>
      <c r="S106" s="14" t="n"/>
      <c r="T106" s="15" t="n"/>
    </row>
    <row r="107">
      <c r="A107" s="16" t="inlineStr">
        <is>
          <t>PROD-0409</t>
        </is>
      </c>
      <c r="B107" s="16" t="inlineStr">
        <is>
          <t>Vodka 40° 70 cl  Echantillon gratuit pour 6 sur demande</t>
        </is>
      </c>
      <c r="C107" s="16" t="inlineStr">
        <is>
          <t>BOISSON_ALCOOLISEE</t>
        </is>
      </c>
      <c r="D107" s="16" t="inlineStr">
        <is>
          <t>SPIRITUEUX</t>
        </is>
      </c>
      <c r="E107" s="16" t="inlineStr">
        <is>
          <t>PREMIUM</t>
        </is>
      </c>
      <c r="F107" s="16" t="inlineStr">
        <is>
          <t>DISTILLERIE C'EST NOUS</t>
        </is>
      </c>
      <c r="G107" s="16" t="inlineStr">
        <is>
          <t>NORMAND DIRECT TERROIR</t>
        </is>
      </c>
      <c r="H107" s="16" t="inlineStr"/>
      <c r="I107" s="16" t="inlineStr">
        <is>
          <t>700 ml</t>
        </is>
      </c>
      <c r="J107" s="16" t="inlineStr">
        <is>
          <t>OUI</t>
        </is>
      </c>
      <c r="K107" s="17" t="inlineStr">
        <is>
          <t>20 %</t>
        </is>
      </c>
      <c r="L107" s="18" t="n">
        <v>20.7</v>
      </c>
      <c r="M107" s="9" t="n">
        <v>31</v>
      </c>
      <c r="N107" s="10" t="inlineStr">
        <is>
          <t>PROPOSÉ</t>
        </is>
      </c>
      <c r="O107" s="11">
        <f>IF(M107="","",M107-L107)</f>
        <v/>
      </c>
      <c r="P107" s="12">
        <f>IF(OR(M107="",M107=0),"",(M107-L107)/M107)</f>
        <v/>
      </c>
      <c r="Q107" s="13">
        <f>IF(OR(M107="",L107=0,L107=""),"",M107/L107)</f>
        <v/>
      </c>
      <c r="R107" s="11">
        <f>IF(M107="","",M107*1.2)</f>
        <v/>
      </c>
      <c r="S107" s="14" t="n"/>
      <c r="T107" s="15" t="n"/>
    </row>
    <row r="108">
      <c r="A108" s="6" t="inlineStr">
        <is>
          <t>PROD-0411</t>
        </is>
      </c>
      <c r="B108" s="6" t="inlineStr">
        <is>
          <t>Liqueur de café Cold brew 25° 70 cl Echantillon gratuit pour 6 sur demande</t>
        </is>
      </c>
      <c r="C108" s="6" t="inlineStr">
        <is>
          <t>BOISSON_ALCOOLISEE</t>
        </is>
      </c>
      <c r="D108" s="6" t="inlineStr">
        <is>
          <t>LIQUEUR</t>
        </is>
      </c>
      <c r="E108" s="6" t="inlineStr">
        <is>
          <t>PREMIUM</t>
        </is>
      </c>
      <c r="F108" s="6" t="inlineStr">
        <is>
          <t>DISTILLERIE C'EST NOUS</t>
        </is>
      </c>
      <c r="G108" s="6" t="inlineStr">
        <is>
          <t>NORMAND DIRECT TERROIR</t>
        </is>
      </c>
      <c r="H108" s="6" t="inlineStr"/>
      <c r="I108" s="6" t="inlineStr">
        <is>
          <t>700 ml</t>
        </is>
      </c>
      <c r="J108" s="6" t="inlineStr">
        <is>
          <t>OUI</t>
        </is>
      </c>
      <c r="K108" s="7" t="inlineStr">
        <is>
          <t>20 %</t>
        </is>
      </c>
      <c r="L108" s="8" t="n">
        <v>19.5</v>
      </c>
      <c r="M108" s="9" t="n">
        <v>32.5</v>
      </c>
      <c r="N108" s="10" t="inlineStr">
        <is>
          <t>PROPOSÉ</t>
        </is>
      </c>
      <c r="O108" s="11">
        <f>IF(M108="","",M108-L108)</f>
        <v/>
      </c>
      <c r="P108" s="12">
        <f>IF(OR(M108="",M108=0),"",(M108-L108)/M108)</f>
        <v/>
      </c>
      <c r="Q108" s="13">
        <f>IF(OR(M108="",L108=0,L108=""),"",M108/L108)</f>
        <v/>
      </c>
      <c r="R108" s="11">
        <f>IF(M108="","",M108*1.2)</f>
        <v/>
      </c>
      <c r="S108" s="14" t="n"/>
      <c r="T108" s="15" t="n"/>
    </row>
    <row r="109">
      <c r="A109" s="16" t="inlineStr">
        <is>
          <t>PROD-0418</t>
        </is>
      </c>
      <c r="B109" s="16" t="inlineStr">
        <is>
          <t>PASTIS du verger Echantillon gratuit pour 6 sur demande</t>
        </is>
      </c>
      <c r="C109" s="16" t="inlineStr">
        <is>
          <t>BOISSON_ALCOOLISEE</t>
        </is>
      </c>
      <c r="D109" s="16" t="inlineStr">
        <is>
          <t>LIQUEUR</t>
        </is>
      </c>
      <c r="E109" s="16" t="inlineStr">
        <is>
          <t>PREMIUM</t>
        </is>
      </c>
      <c r="F109" s="16" t="inlineStr">
        <is>
          <t>DISTILLERIE C'EST NOUS</t>
        </is>
      </c>
      <c r="G109" s="16" t="inlineStr">
        <is>
          <t>NORMAND DIRECT TERROIR</t>
        </is>
      </c>
      <c r="H109" s="16" t="inlineStr"/>
      <c r="I109" s="16" t="inlineStr"/>
      <c r="J109" s="16" t="inlineStr">
        <is>
          <t>OUI</t>
        </is>
      </c>
      <c r="K109" s="17" t="inlineStr">
        <is>
          <t>20 %</t>
        </is>
      </c>
      <c r="L109" s="18" t="n">
        <v>19.3</v>
      </c>
      <c r="M109" s="9" t="n">
        <v>32</v>
      </c>
      <c r="N109" s="10" t="inlineStr">
        <is>
          <t>PROPOSÉ</t>
        </is>
      </c>
      <c r="O109" s="11">
        <f>IF(M109="","",M109-L109)</f>
        <v/>
      </c>
      <c r="P109" s="12">
        <f>IF(OR(M109="",M109=0),"",(M109-L109)/M109)</f>
        <v/>
      </c>
      <c r="Q109" s="13">
        <f>IF(OR(M109="",L109=0,L109=""),"",M109/L109)</f>
        <v/>
      </c>
      <c r="R109" s="11">
        <f>IF(M109="","",M109*1.2)</f>
        <v/>
      </c>
      <c r="S109" s="14" t="n"/>
      <c r="T109" s="15" t="n"/>
    </row>
    <row r="110">
      <c r="A110" s="6" t="inlineStr">
        <is>
          <t>PROD-0416</t>
        </is>
      </c>
      <c r="B110" s="6" t="inlineStr">
        <is>
          <t>Les singuliers "Cask finish" 50 cl</t>
        </is>
      </c>
      <c r="C110" s="6" t="inlineStr">
        <is>
          <t>BOISSON_ALCOOLISEE</t>
        </is>
      </c>
      <c r="D110" s="6" t="inlineStr">
        <is>
          <t>SPIRITUEUX_POMME</t>
        </is>
      </c>
      <c r="E110" s="6" t="inlineStr">
        <is>
          <t>PREMIUM</t>
        </is>
      </c>
      <c r="F110" s="6" t="inlineStr">
        <is>
          <t>DISTILLERIE C'EST NOUS</t>
        </is>
      </c>
      <c r="G110" s="6" t="inlineStr">
        <is>
          <t>NORMAND DIRECT TERROIR</t>
        </is>
      </c>
      <c r="H110" s="6" t="inlineStr"/>
      <c r="I110" s="6" t="inlineStr">
        <is>
          <t>500 ml</t>
        </is>
      </c>
      <c r="J110" s="6" t="inlineStr">
        <is>
          <t>OUI</t>
        </is>
      </c>
      <c r="K110" s="7" t="inlineStr">
        <is>
          <t>20 %</t>
        </is>
      </c>
      <c r="L110" s="8" t="n">
        <v>19</v>
      </c>
      <c r="M110" s="9" t="n">
        <v>30.5</v>
      </c>
      <c r="N110" s="10" t="inlineStr">
        <is>
          <t>PROPOSÉ</t>
        </is>
      </c>
      <c r="O110" s="11">
        <f>IF(M110="","",M110-L110)</f>
        <v/>
      </c>
      <c r="P110" s="12">
        <f>IF(OR(M110="",M110=0),"",(M110-L110)/M110)</f>
        <v/>
      </c>
      <c r="Q110" s="13">
        <f>IF(OR(M110="",L110=0,L110=""),"",M110/L110)</f>
        <v/>
      </c>
      <c r="R110" s="11">
        <f>IF(M110="","",M110*1.2)</f>
        <v/>
      </c>
      <c r="S110" s="14" t="n"/>
      <c r="T110" s="15" t="n"/>
    </row>
    <row r="111">
      <c r="A111" s="16" t="inlineStr">
        <is>
          <t>PROD-0492</t>
        </is>
      </c>
      <c r="B111" s="16" t="inlineStr">
        <is>
          <t>Vodka Arrangée Mangue Abricot 70cl 16,2%</t>
        </is>
      </c>
      <c r="C111" s="16" t="inlineStr">
        <is>
          <t>BOISSON_ALCOOLISEE</t>
        </is>
      </c>
      <c r="D111" s="16" t="inlineStr">
        <is>
          <t>SPIRITUEUX</t>
        </is>
      </c>
      <c r="E111" s="16" t="inlineStr">
        <is>
          <t>PREMIUM</t>
        </is>
      </c>
      <c r="F111" s="16" t="inlineStr">
        <is>
          <t>SKINFAXI</t>
        </is>
      </c>
      <c r="G111" s="16" t="inlineStr">
        <is>
          <t>NORMAND DIRECT TERROIR</t>
        </is>
      </c>
      <c r="H111" s="16" t="inlineStr"/>
      <c r="I111" s="16" t="inlineStr">
        <is>
          <t>700 ml</t>
        </is>
      </c>
      <c r="J111" s="16" t="inlineStr">
        <is>
          <t>OUI</t>
        </is>
      </c>
      <c r="K111" s="17" t="inlineStr">
        <is>
          <t>20 %</t>
        </is>
      </c>
      <c r="L111" s="18" t="n">
        <v>18.9</v>
      </c>
      <c r="M111" s="9" t="n">
        <v>30.5</v>
      </c>
      <c r="N111" s="10" t="inlineStr">
        <is>
          <t>PROPOSÉ</t>
        </is>
      </c>
      <c r="O111" s="11">
        <f>IF(M111="","",M111-L111)</f>
        <v/>
      </c>
      <c r="P111" s="12">
        <f>IF(OR(M111="",M111=0),"",(M111-L111)/M111)</f>
        <v/>
      </c>
      <c r="Q111" s="13">
        <f>IF(OR(M111="",L111=0,L111=""),"",M111/L111)</f>
        <v/>
      </c>
      <c r="R111" s="11">
        <f>IF(M111="","",M111*1.2)</f>
        <v/>
      </c>
      <c r="S111" s="14" t="n"/>
      <c r="T111" s="15" t="n"/>
    </row>
    <row r="112">
      <c r="A112" s="6" t="inlineStr">
        <is>
          <t>PROD-0493</t>
        </is>
      </c>
      <c r="B112" s="6" t="inlineStr">
        <is>
          <t>Vodka Arrangée Romarin Pamplemousse 70cl 16,2%</t>
        </is>
      </c>
      <c r="C112" s="6" t="inlineStr">
        <is>
          <t>BOISSON_ALCOOLISEE</t>
        </is>
      </c>
      <c r="D112" s="6" t="inlineStr">
        <is>
          <t>SPIRITUEUX</t>
        </is>
      </c>
      <c r="E112" s="6" t="inlineStr">
        <is>
          <t>PREMIUM</t>
        </is>
      </c>
      <c r="F112" s="6" t="inlineStr">
        <is>
          <t>SKINFAXI</t>
        </is>
      </c>
      <c r="G112" s="6" t="inlineStr">
        <is>
          <t>NORMAND DIRECT TERROIR</t>
        </is>
      </c>
      <c r="H112" s="6" t="inlineStr"/>
      <c r="I112" s="6" t="inlineStr">
        <is>
          <t>700 ml</t>
        </is>
      </c>
      <c r="J112" s="6" t="inlineStr">
        <is>
          <t>OUI</t>
        </is>
      </c>
      <c r="K112" s="7" t="inlineStr">
        <is>
          <t>20 %</t>
        </is>
      </c>
      <c r="L112" s="8" t="n">
        <v>18.9</v>
      </c>
      <c r="M112" s="9" t="n">
        <v>30.5</v>
      </c>
      <c r="N112" s="10" t="inlineStr">
        <is>
          <t>PROPOSÉ</t>
        </is>
      </c>
      <c r="O112" s="11">
        <f>IF(M112="","",M112-L112)</f>
        <v/>
      </c>
      <c r="P112" s="12">
        <f>IF(OR(M112="",M112=0),"",(M112-L112)/M112)</f>
        <v/>
      </c>
      <c r="Q112" s="13">
        <f>IF(OR(M112="",L112=0,L112=""),"",M112/L112)</f>
        <v/>
      </c>
      <c r="R112" s="11">
        <f>IF(M112="","",M112*1.2)</f>
        <v/>
      </c>
      <c r="S112" s="14" t="n"/>
      <c r="T112" s="15" t="n"/>
    </row>
    <row r="113">
      <c r="A113" s="16" t="inlineStr">
        <is>
          <t>PROD-0494</t>
        </is>
      </c>
      <c r="B113" s="16" t="inlineStr">
        <is>
          <t>Vodka Arrangée Rhubarbe Sichuan 70cl 16,2%</t>
        </is>
      </c>
      <c r="C113" s="16" t="inlineStr">
        <is>
          <t>BOISSON_ALCOOLISEE</t>
        </is>
      </c>
      <c r="D113" s="16" t="inlineStr">
        <is>
          <t>SPIRITUEUX</t>
        </is>
      </c>
      <c r="E113" s="16" t="inlineStr">
        <is>
          <t>PREMIUM</t>
        </is>
      </c>
      <c r="F113" s="16" t="inlineStr">
        <is>
          <t>SKINFAXI</t>
        </is>
      </c>
      <c r="G113" s="16" t="inlineStr">
        <is>
          <t>NORMAND DIRECT TERROIR</t>
        </is>
      </c>
      <c r="H113" s="16" t="inlineStr"/>
      <c r="I113" s="16" t="inlineStr">
        <is>
          <t>700 ml</t>
        </is>
      </c>
      <c r="J113" s="16" t="inlineStr">
        <is>
          <t>OUI</t>
        </is>
      </c>
      <c r="K113" s="17" t="inlineStr">
        <is>
          <t>20 %</t>
        </is>
      </c>
      <c r="L113" s="18" t="n">
        <v>18.9</v>
      </c>
      <c r="M113" s="9" t="n">
        <v>30.5</v>
      </c>
      <c r="N113" s="10" t="inlineStr">
        <is>
          <t>PROPOSÉ</t>
        </is>
      </c>
      <c r="O113" s="11">
        <f>IF(M113="","",M113-L113)</f>
        <v/>
      </c>
      <c r="P113" s="12">
        <f>IF(OR(M113="",M113=0),"",(M113-L113)/M113)</f>
        <v/>
      </c>
      <c r="Q113" s="13">
        <f>IF(OR(M113="",L113=0,L113=""),"",M113/L113)</f>
        <v/>
      </c>
      <c r="R113" s="11">
        <f>IF(M113="","",M113*1.2)</f>
        <v/>
      </c>
      <c r="S113" s="14" t="n"/>
      <c r="T113" s="15" t="n"/>
    </row>
    <row r="114">
      <c r="A114" s="6" t="inlineStr">
        <is>
          <t>PROD-0495</t>
        </is>
      </c>
      <c r="B114" s="6" t="inlineStr">
        <is>
          <t>Vodka Arrangée Banane Vanille 70cl 16,2%</t>
        </is>
      </c>
      <c r="C114" s="6" t="inlineStr">
        <is>
          <t>BOISSON_ALCOOLISEE</t>
        </is>
      </c>
      <c r="D114" s="6" t="inlineStr">
        <is>
          <t>SPIRITUEUX</t>
        </is>
      </c>
      <c r="E114" s="6" t="inlineStr">
        <is>
          <t>PREMIUM</t>
        </is>
      </c>
      <c r="F114" s="6" t="inlineStr">
        <is>
          <t>SKINFAXI</t>
        </is>
      </c>
      <c r="G114" s="6" t="inlineStr">
        <is>
          <t>NORMAND DIRECT TERROIR</t>
        </is>
      </c>
      <c r="H114" s="6" t="inlineStr"/>
      <c r="I114" s="6" t="inlineStr">
        <is>
          <t>700 ml</t>
        </is>
      </c>
      <c r="J114" s="6" t="inlineStr">
        <is>
          <t>OUI</t>
        </is>
      </c>
      <c r="K114" s="7" t="inlineStr">
        <is>
          <t>20 %</t>
        </is>
      </c>
      <c r="L114" s="8" t="n">
        <v>18.9</v>
      </c>
      <c r="M114" s="9" t="n">
        <v>30.5</v>
      </c>
      <c r="N114" s="10" t="inlineStr">
        <is>
          <t>PROPOSÉ</t>
        </is>
      </c>
      <c r="O114" s="11">
        <f>IF(M114="","",M114-L114)</f>
        <v/>
      </c>
      <c r="P114" s="12">
        <f>IF(OR(M114="",M114=0),"",(M114-L114)/M114)</f>
        <v/>
      </c>
      <c r="Q114" s="13">
        <f>IF(OR(M114="",L114=0,L114=""),"",M114/L114)</f>
        <v/>
      </c>
      <c r="R114" s="11">
        <f>IF(M114="","",M114*1.2)</f>
        <v/>
      </c>
      <c r="S114" s="14" t="n"/>
      <c r="T114" s="15" t="n"/>
    </row>
    <row r="115">
      <c r="A115" s="16" t="inlineStr">
        <is>
          <t>PROD-0356</t>
        </is>
      </c>
      <c r="B115" s="16" t="inlineStr">
        <is>
          <t>Fine de Claids 35 cl 40°</t>
        </is>
      </c>
      <c r="C115" s="16" t="inlineStr">
        <is>
          <t>BOISSON_ALCOOLISEE</t>
        </is>
      </c>
      <c r="D115" s="16" t="inlineStr">
        <is>
          <t>SPIRITUEUX_POMME</t>
        </is>
      </c>
      <c r="E115" s="16" t="inlineStr">
        <is>
          <t>PREMIUM</t>
        </is>
      </c>
      <c r="F115" s="16" t="inlineStr">
        <is>
          <t>GAEC DE CLAIDS</t>
        </is>
      </c>
      <c r="G115" s="16" t="inlineStr">
        <is>
          <t>NORMAND DIRECT TERROIR</t>
        </is>
      </c>
      <c r="H115" s="16" t="inlineStr"/>
      <c r="I115" s="16" t="inlineStr">
        <is>
          <t>350 ml</t>
        </is>
      </c>
      <c r="J115" s="16" t="inlineStr">
        <is>
          <t>OUI</t>
        </is>
      </c>
      <c r="K115" s="17" t="inlineStr">
        <is>
          <t>20 %</t>
        </is>
      </c>
      <c r="L115" s="18" t="n">
        <v>18</v>
      </c>
      <c r="M115" s="9" t="n">
        <v>29</v>
      </c>
      <c r="N115" s="10" t="inlineStr">
        <is>
          <t>PROPOSÉ</t>
        </is>
      </c>
      <c r="O115" s="11">
        <f>IF(M115="","",M115-L115)</f>
        <v/>
      </c>
      <c r="P115" s="12">
        <f>IF(OR(M115="",M115=0),"",(M115-L115)/M115)</f>
        <v/>
      </c>
      <c r="Q115" s="13">
        <f>IF(OR(M115="",L115=0,L115=""),"",M115/L115)</f>
        <v/>
      </c>
      <c r="R115" s="11">
        <f>IF(M115="","",M115*1.2)</f>
        <v/>
      </c>
      <c r="S115" s="14" t="n"/>
      <c r="T115" s="15" t="n"/>
    </row>
    <row r="116">
      <c r="A116" s="6" t="inlineStr">
        <is>
          <t>PROD-0687</t>
        </is>
      </c>
      <c r="B116" s="6" t="inlineStr">
        <is>
          <t>Cidre de glace</t>
        </is>
      </c>
      <c r="C116" s="6" t="inlineStr">
        <is>
          <t>BOISSON_ALCOOLISEE</t>
        </is>
      </c>
      <c r="D116" s="6" t="inlineStr">
        <is>
          <t>CIDRE_DE_GLACE</t>
        </is>
      </c>
      <c r="E116" s="6" t="inlineStr">
        <is>
          <t>PREMIUM</t>
        </is>
      </c>
      <c r="F116" s="6" t="inlineStr">
        <is>
          <t>SARL DOMAINE DE BILLY</t>
        </is>
      </c>
      <c r="G116" s="6" t="inlineStr">
        <is>
          <t>SARL DOMAINE DE BILLY</t>
        </is>
      </c>
      <c r="H116" s="6" t="inlineStr">
        <is>
          <t>50 cl</t>
        </is>
      </c>
      <c r="I116" s="6" t="inlineStr">
        <is>
          <t>500 ml</t>
        </is>
      </c>
      <c r="J116" s="6" t="inlineStr">
        <is>
          <t>OUI</t>
        </is>
      </c>
      <c r="K116" s="19" t="inlineStr">
        <is>
          <t>À CONFIRMER</t>
        </is>
      </c>
      <c r="L116" s="8" t="n">
        <v>17</v>
      </c>
      <c r="M116" s="9" t="n">
        <v>29</v>
      </c>
      <c r="N116" s="10" t="inlineStr">
        <is>
          <t>PROPOSÉ</t>
        </is>
      </c>
      <c r="O116" s="11">
        <f>IF(M116="","",M116-L116)</f>
        <v/>
      </c>
      <c r="P116" s="12">
        <f>IF(OR(M116="",M116=0),"",(M116-L116)/M116)</f>
        <v/>
      </c>
      <c r="Q116" s="13">
        <f>IF(OR(M116="",L116=0,L116=""),"",M116/L116)</f>
        <v/>
      </c>
      <c r="R116" s="11">
        <f>IF(M116="","","TVA à confirmer")</f>
        <v/>
      </c>
      <c r="S116" s="14" t="n"/>
      <c r="T116" s="15" t="n"/>
    </row>
    <row r="117">
      <c r="A117" s="16" t="inlineStr">
        <is>
          <t>PROD-0364</t>
        </is>
      </c>
      <c r="B117" s="16" t="inlineStr">
        <is>
          <t>Liqueur 44 "le chiffre Claids" 35 cl 32°</t>
        </is>
      </c>
      <c r="C117" s="16" t="inlineStr">
        <is>
          <t>BOISSON_ALCOOLISEE</t>
        </is>
      </c>
      <c r="D117" s="16" t="inlineStr">
        <is>
          <t>LIQUEUR</t>
        </is>
      </c>
      <c r="E117" s="16" t="inlineStr">
        <is>
          <t>PREMIUM</t>
        </is>
      </c>
      <c r="F117" s="16" t="inlineStr">
        <is>
          <t>GAEC DE CLAIDS</t>
        </is>
      </c>
      <c r="G117" s="16" t="inlineStr">
        <is>
          <t>NORMAND DIRECT TERROIR</t>
        </is>
      </c>
      <c r="H117" s="16" t="inlineStr"/>
      <c r="I117" s="16" t="inlineStr">
        <is>
          <t>350 ml</t>
        </is>
      </c>
      <c r="J117" s="16" t="inlineStr">
        <is>
          <t>OUI</t>
        </is>
      </c>
      <c r="K117" s="17" t="inlineStr">
        <is>
          <t>20 %</t>
        </is>
      </c>
      <c r="L117" s="18" t="n">
        <v>16.2</v>
      </c>
      <c r="M117" s="9" t="n">
        <v>27</v>
      </c>
      <c r="N117" s="10" t="inlineStr">
        <is>
          <t>PROPOSÉ</t>
        </is>
      </c>
      <c r="O117" s="11">
        <f>IF(M117="","",M117-L117)</f>
        <v/>
      </c>
      <c r="P117" s="12">
        <f>IF(OR(M117="",M117=0),"",(M117-L117)/M117)</f>
        <v/>
      </c>
      <c r="Q117" s="13">
        <f>IF(OR(M117="",L117=0,L117=""),"",M117/L117)</f>
        <v/>
      </c>
      <c r="R117" s="11">
        <f>IF(M117="","",M117*1.2)</f>
        <v/>
      </c>
      <c r="S117" s="14" t="n"/>
      <c r="T117" s="15" t="n"/>
    </row>
    <row r="118">
      <c r="A118" s="6" t="inlineStr">
        <is>
          <t>PROD-0318</t>
        </is>
      </c>
      <c r="B118" s="6" t="inlineStr">
        <is>
          <t>Cidre bio micro cuvée N°1 vieilli fût chêne150 cl 2019</t>
        </is>
      </c>
      <c r="C118" s="6" t="inlineStr">
        <is>
          <t>BOISSON_ALCOOLISEE</t>
        </is>
      </c>
      <c r="D118" s="6" t="inlineStr">
        <is>
          <t>CIDRE</t>
        </is>
      </c>
      <c r="E118" s="6" t="inlineStr">
        <is>
          <t>PREMIUM</t>
        </is>
      </c>
      <c r="F118" s="6" t="inlineStr">
        <is>
          <t>MAISON HEROUT</t>
        </is>
      </c>
      <c r="G118" s="6" t="inlineStr">
        <is>
          <t>NORMAND DIRECT TERROIR</t>
        </is>
      </c>
      <c r="H118" s="6" t="inlineStr"/>
      <c r="I118" s="6" t="inlineStr">
        <is>
          <t>1500 ml</t>
        </is>
      </c>
      <c r="J118" s="6" t="inlineStr">
        <is>
          <t>OUI</t>
        </is>
      </c>
      <c r="K118" s="7" t="inlineStr">
        <is>
          <t>20 %</t>
        </is>
      </c>
      <c r="L118" s="8" t="n">
        <v>16.06</v>
      </c>
      <c r="M118" s="9" t="n">
        <v>29</v>
      </c>
      <c r="N118" s="10" t="inlineStr">
        <is>
          <t>PROPOSÉ</t>
        </is>
      </c>
      <c r="O118" s="11">
        <f>IF(M118="","",M118-L118)</f>
        <v/>
      </c>
      <c r="P118" s="12">
        <f>IF(OR(M118="",M118=0),"",(M118-L118)/M118)</f>
        <v/>
      </c>
      <c r="Q118" s="13">
        <f>IF(OR(M118="",L118=0,L118=""),"",M118/L118)</f>
        <v/>
      </c>
      <c r="R118" s="11">
        <f>IF(M118="","",M118*1.2)</f>
        <v/>
      </c>
      <c r="S118" s="14" t="n"/>
      <c r="T118" s="15" t="n"/>
    </row>
    <row r="119">
      <c r="A119" s="16" t="inlineStr">
        <is>
          <t>PROD-0398</t>
        </is>
      </c>
      <c r="B119" s="16" t="inlineStr">
        <is>
          <t>CONNIVENCE BLANC 75 cl  14° en coffret de 6</t>
        </is>
      </c>
      <c r="C119" s="16" t="inlineStr">
        <is>
          <t>BOISSON_ALCOOLISEE</t>
        </is>
      </c>
      <c r="D119" s="16" t="inlineStr">
        <is>
          <t>VIN</t>
        </is>
      </c>
      <c r="E119" s="16" t="inlineStr">
        <is>
          <t>PREMIUM</t>
        </is>
      </c>
      <c r="F119" s="16" t="inlineStr">
        <is>
          <t>LES ARPENTS DU SOLEIL</t>
        </is>
      </c>
      <c r="G119" s="16" t="inlineStr">
        <is>
          <t>NORMAND DIRECT TERROIR</t>
        </is>
      </c>
      <c r="H119" s="16" t="inlineStr"/>
      <c r="I119" s="16" t="inlineStr">
        <is>
          <t>750 ml</t>
        </is>
      </c>
      <c r="J119" s="16" t="inlineStr">
        <is>
          <t>OUI</t>
        </is>
      </c>
      <c r="K119" s="17" t="inlineStr">
        <is>
          <t>20 %</t>
        </is>
      </c>
      <c r="L119" s="18" t="n">
        <v>15.9</v>
      </c>
      <c r="M119" s="9" t="n">
        <v>25.5</v>
      </c>
      <c r="N119" s="10" t="inlineStr">
        <is>
          <t>PROPOSÉ</t>
        </is>
      </c>
      <c r="O119" s="11">
        <f>IF(M119="","",M119-L119)</f>
        <v/>
      </c>
      <c r="P119" s="12">
        <f>IF(OR(M119="",M119=0),"",(M119-L119)/M119)</f>
        <v/>
      </c>
      <c r="Q119" s="13">
        <f>IF(OR(M119="",L119=0,L119=""),"",M119/L119)</f>
        <v/>
      </c>
      <c r="R119" s="11">
        <f>IF(M119="","",M119*1.2)</f>
        <v/>
      </c>
      <c r="S119" s="14" t="n"/>
      <c r="T119" s="15" t="n"/>
    </row>
    <row r="120">
      <c r="A120" s="6" t="inlineStr">
        <is>
          <t>PROD-0372</t>
        </is>
      </c>
      <c r="B120" s="6" t="inlineStr">
        <is>
          <t>Liqueur 44 35 cl 40°</t>
        </is>
      </c>
      <c r="C120" s="6" t="inlineStr">
        <is>
          <t>BOISSON_ALCOOLISEE</t>
        </is>
      </c>
      <c r="D120" s="6" t="inlineStr">
        <is>
          <t>LIQUEUR</t>
        </is>
      </c>
      <c r="E120" s="6" t="inlineStr">
        <is>
          <t>PREMIUM</t>
        </is>
      </c>
      <c r="F120" s="6" t="inlineStr">
        <is>
          <t>FERME DU LOTEROT</t>
        </is>
      </c>
      <c r="G120" s="6" t="inlineStr">
        <is>
          <t>NORMAND DIRECT TERROIR</t>
        </is>
      </c>
      <c r="H120" s="6" t="inlineStr"/>
      <c r="I120" s="6" t="inlineStr">
        <is>
          <t>350 ml</t>
        </is>
      </c>
      <c r="J120" s="6" t="inlineStr">
        <is>
          <t>OUI</t>
        </is>
      </c>
      <c r="K120" s="7" t="inlineStr">
        <is>
          <t>20 %</t>
        </is>
      </c>
      <c r="L120" s="8" t="n">
        <v>15.4</v>
      </c>
      <c r="M120" s="9" t="n">
        <v>25.5</v>
      </c>
      <c r="N120" s="10" t="inlineStr">
        <is>
          <t>PROPOSÉ</t>
        </is>
      </c>
      <c r="O120" s="11">
        <f>IF(M120="","",M120-L120)</f>
        <v/>
      </c>
      <c r="P120" s="12">
        <f>IF(OR(M120="",M120=0),"",(M120-L120)/M120)</f>
        <v/>
      </c>
      <c r="Q120" s="13">
        <f>IF(OR(M120="",L120=0,L120=""),"",M120/L120)</f>
        <v/>
      </c>
      <c r="R120" s="11">
        <f>IF(M120="","",M120*1.2)</f>
        <v/>
      </c>
      <c r="S120" s="14" t="n"/>
      <c r="T120" s="15" t="n"/>
    </row>
    <row r="121">
      <c r="A121" s="16" t="inlineStr">
        <is>
          <t>PROD-0413</t>
        </is>
      </c>
      <c r="B121" s="16" t="inlineStr">
        <is>
          <t>Limoncello 50 cl Liqueur de citron Echantillon gratuit pour 6 sur demande</t>
        </is>
      </c>
      <c r="C121" s="16" t="inlineStr">
        <is>
          <t>BOISSON_ALCOOLISEE</t>
        </is>
      </c>
      <c r="D121" s="16" t="inlineStr">
        <is>
          <t>LIQUEUR</t>
        </is>
      </c>
      <c r="E121" s="16" t="inlineStr">
        <is>
          <t>PREMIUM</t>
        </is>
      </c>
      <c r="F121" s="16" t="inlineStr">
        <is>
          <t>DISTILLERIE C'EST NOUS</t>
        </is>
      </c>
      <c r="G121" s="16" t="inlineStr">
        <is>
          <t>NORMAND DIRECT TERROIR</t>
        </is>
      </c>
      <c r="H121" s="16" t="inlineStr"/>
      <c r="I121" s="16" t="inlineStr">
        <is>
          <t>500 ml</t>
        </is>
      </c>
      <c r="J121" s="16" t="inlineStr">
        <is>
          <t>OUI</t>
        </is>
      </c>
      <c r="K121" s="17" t="inlineStr">
        <is>
          <t>20 %</t>
        </is>
      </c>
      <c r="L121" s="18" t="n">
        <v>14.6</v>
      </c>
      <c r="M121" s="9" t="n">
        <v>24</v>
      </c>
      <c r="N121" s="10" t="inlineStr">
        <is>
          <t>PROPOSÉ</t>
        </is>
      </c>
      <c r="O121" s="11">
        <f>IF(M121="","",M121-L121)</f>
        <v/>
      </c>
      <c r="P121" s="12">
        <f>IF(OR(M121="",M121=0),"",(M121-L121)/M121)</f>
        <v/>
      </c>
      <c r="Q121" s="13">
        <f>IF(OR(M121="",L121=0,L121=""),"",M121/L121)</f>
        <v/>
      </c>
      <c r="R121" s="11">
        <f>IF(M121="","",M121*1.2)</f>
        <v/>
      </c>
      <c r="S121" s="14" t="n"/>
      <c r="T121" s="15" t="n"/>
    </row>
    <row r="122">
      <c r="A122" s="6" t="inlineStr">
        <is>
          <t>PROD-0472</t>
        </is>
      </c>
      <c r="B122" s="6" t="inlineStr">
        <is>
          <t>Cidre de Glace 37,5cl 12%</t>
        </is>
      </c>
      <c r="C122" s="6" t="inlineStr">
        <is>
          <t>BOISSON_ALCOOLISEE</t>
        </is>
      </c>
      <c r="D122" s="6" t="inlineStr">
        <is>
          <t>CIDRE_DE_GLACE</t>
        </is>
      </c>
      <c r="E122" s="6" t="inlineStr">
        <is>
          <t>PREMIUM</t>
        </is>
      </c>
      <c r="F122" s="6" t="inlineStr">
        <is>
          <t>DOMAINE DES HAUTS VENTS</t>
        </is>
      </c>
      <c r="G122" s="6" t="inlineStr">
        <is>
          <t>NORMAND DIRECT TERROIR</t>
        </is>
      </c>
      <c r="H122" s="6" t="inlineStr"/>
      <c r="I122" s="6" t="inlineStr">
        <is>
          <t>375 ml</t>
        </is>
      </c>
      <c r="J122" s="6" t="inlineStr">
        <is>
          <t>OUI</t>
        </is>
      </c>
      <c r="K122" s="7" t="inlineStr">
        <is>
          <t>20 %</t>
        </is>
      </c>
      <c r="L122" s="8" t="n">
        <v>14.3</v>
      </c>
      <c r="M122" s="9" t="n">
        <v>24.5</v>
      </c>
      <c r="N122" s="10" t="inlineStr">
        <is>
          <t>PROPOSÉ</t>
        </is>
      </c>
      <c r="O122" s="11">
        <f>IF(M122="","",M122-L122)</f>
        <v/>
      </c>
      <c r="P122" s="12">
        <f>IF(OR(M122="",M122=0),"",(M122-L122)/M122)</f>
        <v/>
      </c>
      <c r="Q122" s="13">
        <f>IF(OR(M122="",L122=0,L122=""),"",M122/L122)</f>
        <v/>
      </c>
      <c r="R122" s="11">
        <f>IF(M122="","",M122*1.2)</f>
        <v/>
      </c>
      <c r="S122" s="14" t="n"/>
      <c r="T122" s="15" t="n"/>
    </row>
    <row r="123">
      <c r="A123" s="16" t="inlineStr">
        <is>
          <t>PROD-0407</t>
        </is>
      </c>
      <c r="B123" s="16" t="inlineStr">
        <is>
          <t>Gin fusion  21 ° Rhubarbe Menthe 50 cl</t>
        </is>
      </c>
      <c r="C123" s="16" t="inlineStr">
        <is>
          <t>BOISSON_ALCOOLISEE</t>
        </is>
      </c>
      <c r="D123" s="16" t="inlineStr">
        <is>
          <t>SPIRITUEUX</t>
        </is>
      </c>
      <c r="E123" s="16" t="inlineStr">
        <is>
          <t>PREMIUM</t>
        </is>
      </c>
      <c r="F123" s="16" t="inlineStr">
        <is>
          <t>DISTILLERIE C'EST NOUS</t>
        </is>
      </c>
      <c r="G123" s="16" t="inlineStr">
        <is>
          <t>NORMAND DIRECT TERROIR</t>
        </is>
      </c>
      <c r="H123" s="16" t="inlineStr"/>
      <c r="I123" s="16" t="inlineStr">
        <is>
          <t>500 ml</t>
        </is>
      </c>
      <c r="J123" s="16" t="inlineStr">
        <is>
          <t>OUI</t>
        </is>
      </c>
      <c r="K123" s="17" t="inlineStr">
        <is>
          <t>20 %</t>
        </is>
      </c>
      <c r="L123" s="18" t="n">
        <v>13.8</v>
      </c>
      <c r="M123" s="9" t="n">
        <v>22</v>
      </c>
      <c r="N123" s="10" t="inlineStr">
        <is>
          <t>PROPOSÉ</t>
        </is>
      </c>
      <c r="O123" s="11">
        <f>IF(M123="","",M123-L123)</f>
        <v/>
      </c>
      <c r="P123" s="12">
        <f>IF(OR(M123="",M123=0),"",(M123-L123)/M123)</f>
        <v/>
      </c>
      <c r="Q123" s="13">
        <f>IF(OR(M123="",L123=0,L123=""),"",M123/L123)</f>
        <v/>
      </c>
      <c r="R123" s="11">
        <f>IF(M123="","",M123*1.2)</f>
        <v/>
      </c>
      <c r="S123" s="14" t="n"/>
      <c r="T123" s="15" t="n"/>
    </row>
    <row r="124">
      <c r="A124" s="6" t="inlineStr">
        <is>
          <t>PROD-0408</t>
        </is>
      </c>
      <c r="B124" s="6" t="inlineStr">
        <is>
          <t>Gin fusion 21° Framboise Hibiscus 50 cl</t>
        </is>
      </c>
      <c r="C124" s="6" t="inlineStr">
        <is>
          <t>BOISSON_ALCOOLISEE</t>
        </is>
      </c>
      <c r="D124" s="6" t="inlineStr">
        <is>
          <t>SPIRITUEUX</t>
        </is>
      </c>
      <c r="E124" s="6" t="inlineStr">
        <is>
          <t>PREMIUM</t>
        </is>
      </c>
      <c r="F124" s="6" t="inlineStr">
        <is>
          <t>DISTILLERIE C'EST NOUS</t>
        </is>
      </c>
      <c r="G124" s="6" t="inlineStr">
        <is>
          <t>NORMAND DIRECT TERROIR</t>
        </is>
      </c>
      <c r="H124" s="6" t="inlineStr"/>
      <c r="I124" s="6" t="inlineStr">
        <is>
          <t>500 ml</t>
        </is>
      </c>
      <c r="J124" s="6" t="inlineStr">
        <is>
          <t>OUI</t>
        </is>
      </c>
      <c r="K124" s="7" t="inlineStr">
        <is>
          <t>20 %</t>
        </is>
      </c>
      <c r="L124" s="8" t="n">
        <v>13.8</v>
      </c>
      <c r="M124" s="9" t="n">
        <v>22</v>
      </c>
      <c r="N124" s="10" t="inlineStr">
        <is>
          <t>PROPOSÉ</t>
        </is>
      </c>
      <c r="O124" s="11">
        <f>IF(M124="","",M124-L124)</f>
        <v/>
      </c>
      <c r="P124" s="12">
        <f>IF(OR(M124="",M124=0),"",(M124-L124)/M124)</f>
        <v/>
      </c>
      <c r="Q124" s="13">
        <f>IF(OR(M124="",L124=0,L124=""),"",M124/L124)</f>
        <v/>
      </c>
      <c r="R124" s="11">
        <f>IF(M124="","",M124*1.2)</f>
        <v/>
      </c>
      <c r="S124" s="14" t="n"/>
      <c r="T124" s="15" t="n"/>
    </row>
    <row r="125">
      <c r="A125" s="16" t="inlineStr">
        <is>
          <t>PROD-0691</t>
        </is>
      </c>
      <c r="B125" s="16" t="inlineStr">
        <is>
          <t>Esprit de Billy</t>
        </is>
      </c>
      <c r="C125" s="16" t="inlineStr">
        <is>
          <t>BOISSON_ALCOOLISEE</t>
        </is>
      </c>
      <c r="D125" s="16" t="inlineStr">
        <is>
          <t>SPIRITUEUX_POMME</t>
        </is>
      </c>
      <c r="E125" s="16" t="inlineStr">
        <is>
          <t>PREMIUM</t>
        </is>
      </c>
      <c r="F125" s="16" t="inlineStr">
        <is>
          <t>SARL DOMAINE DE BILLY</t>
        </is>
      </c>
      <c r="G125" s="16" t="inlineStr">
        <is>
          <t>SARL DOMAINE DE BILLY</t>
        </is>
      </c>
      <c r="H125" s="16" t="inlineStr">
        <is>
          <t>70 cl</t>
        </is>
      </c>
      <c r="I125" s="16" t="inlineStr">
        <is>
          <t>700 ml</t>
        </is>
      </c>
      <c r="J125" s="16" t="inlineStr">
        <is>
          <t>OUI</t>
        </is>
      </c>
      <c r="K125" s="20" t="inlineStr">
        <is>
          <t>À CONFIRMER</t>
        </is>
      </c>
      <c r="L125" s="18" t="n">
        <v>13.53</v>
      </c>
      <c r="M125" s="9" t="n">
        <v>22</v>
      </c>
      <c r="N125" s="10" t="inlineStr">
        <is>
          <t>PROPOSÉ</t>
        </is>
      </c>
      <c r="O125" s="11">
        <f>IF(M125="","",M125-L125)</f>
        <v/>
      </c>
      <c r="P125" s="12">
        <f>IF(OR(M125="",M125=0),"",(M125-L125)/M125)</f>
        <v/>
      </c>
      <c r="Q125" s="13">
        <f>IF(OR(M125="",L125=0,L125=""),"",M125/L125)</f>
        <v/>
      </c>
      <c r="R125" s="11">
        <f>IF(M125="","","TVA à confirmer")</f>
        <v/>
      </c>
      <c r="S125" s="14" t="n"/>
      <c r="T125" s="15" t="n"/>
    </row>
    <row r="126">
      <c r="A126" s="6" t="inlineStr">
        <is>
          <t>PROD-0702</t>
        </is>
      </c>
      <c r="B126" s="6" t="inlineStr">
        <is>
          <t>Les Trois Flèches 75 cl btlle</t>
        </is>
      </c>
      <c r="C126" s="6" t="inlineStr">
        <is>
          <t>BOISSON_ALCOOLISEE</t>
        </is>
      </c>
      <c r="D126" s="6" t="inlineStr">
        <is>
          <t>VIN</t>
        </is>
      </c>
      <c r="E126" s="6" t="inlineStr">
        <is>
          <t>PREMIUM</t>
        </is>
      </c>
      <c r="F126" s="6" t="inlineStr">
        <is>
          <t>DOMAINE DE BRUCAN</t>
        </is>
      </c>
      <c r="G126" s="6" t="inlineStr">
        <is>
          <t>DOMAINE DE BRUCAN</t>
        </is>
      </c>
      <c r="H126" s="6" t="inlineStr">
        <is>
          <t>bouteille 75 cl (mention « btlle » sur la facture)</t>
        </is>
      </c>
      <c r="I126" s="6" t="inlineStr">
        <is>
          <t>750 ml</t>
        </is>
      </c>
      <c r="J126" s="6" t="inlineStr">
        <is>
          <t>OUI</t>
        </is>
      </c>
      <c r="K126" s="7" t="inlineStr">
        <is>
          <t>20 %</t>
        </is>
      </c>
      <c r="L126" s="8" t="n">
        <v>13</v>
      </c>
      <c r="M126" s="9" t="n">
        <v>21</v>
      </c>
      <c r="N126" s="10" t="inlineStr">
        <is>
          <t>PROPOSÉ</t>
        </is>
      </c>
      <c r="O126" s="11">
        <f>IF(M126="","",M126-L126)</f>
        <v/>
      </c>
      <c r="P126" s="12">
        <f>IF(OR(M126="",M126=0),"",(M126-L126)/M126)</f>
        <v/>
      </c>
      <c r="Q126" s="13">
        <f>IF(OR(M126="",L126=0,L126=""),"",M126/L126)</f>
        <v/>
      </c>
      <c r="R126" s="11">
        <f>IF(M126="","",M126*1.2)</f>
        <v/>
      </c>
      <c r="S126" s="14" t="n"/>
      <c r="T126" s="15" t="n"/>
    </row>
    <row r="127">
      <c r="A127" s="16" t="inlineStr">
        <is>
          <t>PROD-0486</t>
        </is>
      </c>
      <c r="B127" s="16" t="inlineStr">
        <is>
          <t>Moscow Mule 70cl 16%</t>
        </is>
      </c>
      <c r="C127" s="16" t="inlineStr">
        <is>
          <t>BOISSON_ALCOOLISEE</t>
        </is>
      </c>
      <c r="D127" s="16" t="inlineStr">
        <is>
          <t>COCKTAIL_PRET_A_BOIRE</t>
        </is>
      </c>
      <c r="E127" s="16" t="inlineStr">
        <is>
          <t>PREMIUM</t>
        </is>
      </c>
      <c r="F127" s="16" t="inlineStr">
        <is>
          <t>SKINFAXI</t>
        </is>
      </c>
      <c r="G127" s="16" t="inlineStr">
        <is>
          <t>NORMAND DIRECT TERROIR</t>
        </is>
      </c>
      <c r="H127" s="16" t="inlineStr"/>
      <c r="I127" s="16" t="inlineStr">
        <is>
          <t>700 ml</t>
        </is>
      </c>
      <c r="J127" s="16" t="inlineStr">
        <is>
          <t>OUI</t>
        </is>
      </c>
      <c r="K127" s="17" t="inlineStr">
        <is>
          <t>20 %</t>
        </is>
      </c>
      <c r="L127" s="18" t="n">
        <v>12.6</v>
      </c>
      <c r="M127" s="9" t="n">
        <v>22</v>
      </c>
      <c r="N127" s="10" t="inlineStr">
        <is>
          <t>PROPOSÉ</t>
        </is>
      </c>
      <c r="O127" s="11">
        <f>IF(M127="","",M127-L127)</f>
        <v/>
      </c>
      <c r="P127" s="12">
        <f>IF(OR(M127="",M127=0),"",(M127-L127)/M127)</f>
        <v/>
      </c>
      <c r="Q127" s="13">
        <f>IF(OR(M127="",L127=0,L127=""),"",M127/L127)</f>
        <v/>
      </c>
      <c r="R127" s="11">
        <f>IF(M127="","",M127*1.2)</f>
        <v/>
      </c>
      <c r="S127" s="14" t="n"/>
      <c r="T127" s="15" t="n"/>
    </row>
    <row r="128">
      <c r="A128" s="6" t="inlineStr">
        <is>
          <t>PROD-0487</t>
        </is>
      </c>
      <c r="B128" s="6" t="inlineStr">
        <is>
          <t>Pornstar Martini 70cl 16%</t>
        </is>
      </c>
      <c r="C128" s="6" t="inlineStr">
        <is>
          <t>BOISSON_ALCOOLISEE</t>
        </is>
      </c>
      <c r="D128" s="6" t="inlineStr">
        <is>
          <t>COCKTAIL_PRET_A_BOIRE</t>
        </is>
      </c>
      <c r="E128" s="6" t="inlineStr">
        <is>
          <t>PREMIUM</t>
        </is>
      </c>
      <c r="F128" s="6" t="inlineStr">
        <is>
          <t>SKINFAXI</t>
        </is>
      </c>
      <c r="G128" s="6" t="inlineStr">
        <is>
          <t>NORMAND DIRECT TERROIR</t>
        </is>
      </c>
      <c r="H128" s="6" t="inlineStr"/>
      <c r="I128" s="6" t="inlineStr">
        <is>
          <t>700 ml</t>
        </is>
      </c>
      <c r="J128" s="6" t="inlineStr">
        <is>
          <t>OUI</t>
        </is>
      </c>
      <c r="K128" s="7" t="inlineStr">
        <is>
          <t>20 %</t>
        </is>
      </c>
      <c r="L128" s="8" t="n">
        <v>12.6</v>
      </c>
      <c r="M128" s="9" t="n">
        <v>22</v>
      </c>
      <c r="N128" s="10" t="inlineStr">
        <is>
          <t>PROPOSÉ</t>
        </is>
      </c>
      <c r="O128" s="11">
        <f>IF(M128="","",M128-L128)</f>
        <v/>
      </c>
      <c r="P128" s="12">
        <f>IF(OR(M128="",M128=0),"",(M128-L128)/M128)</f>
        <v/>
      </c>
      <c r="Q128" s="13">
        <f>IF(OR(M128="",L128=0,L128=""),"",M128/L128)</f>
        <v/>
      </c>
      <c r="R128" s="11">
        <f>IF(M128="","",M128*1.2)</f>
        <v/>
      </c>
      <c r="S128" s="14" t="n"/>
      <c r="T128" s="15" t="n"/>
    </row>
    <row r="129">
      <c r="A129" s="16" t="inlineStr">
        <is>
          <t>PROD-0488</t>
        </is>
      </c>
      <c r="B129" s="16" t="inlineStr">
        <is>
          <t>Espresso Martini 70cl 16%</t>
        </is>
      </c>
      <c r="C129" s="16" t="inlineStr">
        <is>
          <t>BOISSON_ALCOOLISEE</t>
        </is>
      </c>
      <c r="D129" s="16" t="inlineStr">
        <is>
          <t>COCKTAIL_PRET_A_BOIRE</t>
        </is>
      </c>
      <c r="E129" s="16" t="inlineStr">
        <is>
          <t>PREMIUM</t>
        </is>
      </c>
      <c r="F129" s="16" t="inlineStr">
        <is>
          <t>SKINFAXI</t>
        </is>
      </c>
      <c r="G129" s="16" t="inlineStr">
        <is>
          <t>NORMAND DIRECT TERROIR</t>
        </is>
      </c>
      <c r="H129" s="16" t="inlineStr"/>
      <c r="I129" s="16" t="inlineStr">
        <is>
          <t>700 ml</t>
        </is>
      </c>
      <c r="J129" s="16" t="inlineStr">
        <is>
          <t>OUI</t>
        </is>
      </c>
      <c r="K129" s="17" t="inlineStr">
        <is>
          <t>20 %</t>
        </is>
      </c>
      <c r="L129" s="18" t="n">
        <v>12.6</v>
      </c>
      <c r="M129" s="9" t="n">
        <v>22</v>
      </c>
      <c r="N129" s="10" t="inlineStr">
        <is>
          <t>PROPOSÉ</t>
        </is>
      </c>
      <c r="O129" s="11">
        <f>IF(M129="","",M129-L129)</f>
        <v/>
      </c>
      <c r="P129" s="12">
        <f>IF(OR(M129="",M129=0),"",(M129-L129)/M129)</f>
        <v/>
      </c>
      <c r="Q129" s="13">
        <f>IF(OR(M129="",L129=0,L129=""),"",M129/L129)</f>
        <v/>
      </c>
      <c r="R129" s="11">
        <f>IF(M129="","",M129*1.2)</f>
        <v/>
      </c>
      <c r="S129" s="14" t="n"/>
      <c r="T129" s="15" t="n"/>
    </row>
    <row r="130">
      <c r="A130" s="6" t="inlineStr">
        <is>
          <t>PROD-0489</t>
        </is>
      </c>
      <c r="B130" s="6" t="inlineStr">
        <is>
          <t>Sex on the Beach 70cl 16%</t>
        </is>
      </c>
      <c r="C130" s="6" t="inlineStr">
        <is>
          <t>BOISSON_ALCOOLISEE</t>
        </is>
      </c>
      <c r="D130" s="6" t="inlineStr">
        <is>
          <t>COCKTAIL_PRET_A_BOIRE</t>
        </is>
      </c>
      <c r="E130" s="6" t="inlineStr">
        <is>
          <t>PREMIUM</t>
        </is>
      </c>
      <c r="F130" s="6" t="inlineStr">
        <is>
          <t>SKINFAXI</t>
        </is>
      </c>
      <c r="G130" s="6" t="inlineStr">
        <is>
          <t>NORMAND DIRECT TERROIR</t>
        </is>
      </c>
      <c r="H130" s="6" t="inlineStr"/>
      <c r="I130" s="6" t="inlineStr">
        <is>
          <t>700 ml</t>
        </is>
      </c>
      <c r="J130" s="6" t="inlineStr">
        <is>
          <t>OUI</t>
        </is>
      </c>
      <c r="K130" s="7" t="inlineStr">
        <is>
          <t>20 %</t>
        </is>
      </c>
      <c r="L130" s="8" t="n">
        <v>12.6</v>
      </c>
      <c r="M130" s="9" t="n">
        <v>22</v>
      </c>
      <c r="N130" s="10" t="inlineStr">
        <is>
          <t>PROPOSÉ</t>
        </is>
      </c>
      <c r="O130" s="11">
        <f>IF(M130="","",M130-L130)</f>
        <v/>
      </c>
      <c r="P130" s="12">
        <f>IF(OR(M130="",M130=0),"",(M130-L130)/M130)</f>
        <v/>
      </c>
      <c r="Q130" s="13">
        <f>IF(OR(M130="",L130=0,L130=""),"",M130/L130)</f>
        <v/>
      </c>
      <c r="R130" s="11">
        <f>IF(M130="","",M130*1.2)</f>
        <v/>
      </c>
      <c r="S130" s="14" t="n"/>
      <c r="T130" s="15" t="n"/>
    </row>
    <row r="131">
      <c r="A131" s="16" t="inlineStr">
        <is>
          <t>PROD-0490</t>
        </is>
      </c>
      <c r="B131" s="16" t="inlineStr">
        <is>
          <t>Cosmopolitan 70cl 16%</t>
        </is>
      </c>
      <c r="C131" s="16" t="inlineStr">
        <is>
          <t>BOISSON_ALCOOLISEE</t>
        </is>
      </c>
      <c r="D131" s="16" t="inlineStr">
        <is>
          <t>COCKTAIL_PRET_A_BOIRE</t>
        </is>
      </c>
      <c r="E131" s="16" t="inlineStr">
        <is>
          <t>PREMIUM</t>
        </is>
      </c>
      <c r="F131" s="16" t="inlineStr">
        <is>
          <t>SKINFAXI</t>
        </is>
      </c>
      <c r="G131" s="16" t="inlineStr">
        <is>
          <t>NORMAND DIRECT TERROIR</t>
        </is>
      </c>
      <c r="H131" s="16" t="inlineStr"/>
      <c r="I131" s="16" t="inlineStr">
        <is>
          <t>700 ml</t>
        </is>
      </c>
      <c r="J131" s="16" t="inlineStr">
        <is>
          <t>OUI</t>
        </is>
      </c>
      <c r="K131" s="17" t="inlineStr">
        <is>
          <t>20 %</t>
        </is>
      </c>
      <c r="L131" s="18" t="n">
        <v>12.6</v>
      </c>
      <c r="M131" s="9" t="n">
        <v>22</v>
      </c>
      <c r="N131" s="10" t="inlineStr">
        <is>
          <t>PROPOSÉ</t>
        </is>
      </c>
      <c r="O131" s="11">
        <f>IF(M131="","",M131-L131)</f>
        <v/>
      </c>
      <c r="P131" s="12">
        <f>IF(OR(M131="",M131=0),"",(M131-L131)/M131)</f>
        <v/>
      </c>
      <c r="Q131" s="13">
        <f>IF(OR(M131="",L131=0,L131=""),"",M131/L131)</f>
        <v/>
      </c>
      <c r="R131" s="11">
        <f>IF(M131="","",M131*1.2)</f>
        <v/>
      </c>
      <c r="S131" s="14" t="n"/>
      <c r="T131" s="15" t="n"/>
    </row>
    <row r="132">
      <c r="A132" s="6" t="inlineStr">
        <is>
          <t>PROD-0491</t>
        </is>
      </c>
      <c r="B132" s="6" t="inlineStr">
        <is>
          <t>American Plum Sour 70cl 16%</t>
        </is>
      </c>
      <c r="C132" s="6" t="inlineStr">
        <is>
          <t>BOISSON_ALCOOLISEE</t>
        </is>
      </c>
      <c r="D132" s="6" t="inlineStr">
        <is>
          <t>COCKTAIL_PRET_A_BOIRE</t>
        </is>
      </c>
      <c r="E132" s="6" t="inlineStr">
        <is>
          <t>PREMIUM</t>
        </is>
      </c>
      <c r="F132" s="6" t="inlineStr">
        <is>
          <t>SKINFAXI</t>
        </is>
      </c>
      <c r="G132" s="6" t="inlineStr">
        <is>
          <t>NORMAND DIRECT TERROIR</t>
        </is>
      </c>
      <c r="H132" s="6" t="inlineStr"/>
      <c r="I132" s="6" t="inlineStr">
        <is>
          <t>700 ml</t>
        </is>
      </c>
      <c r="J132" s="6" t="inlineStr">
        <is>
          <t>OUI</t>
        </is>
      </c>
      <c r="K132" s="7" t="inlineStr">
        <is>
          <t>20 %</t>
        </is>
      </c>
      <c r="L132" s="8" t="n">
        <v>12.6</v>
      </c>
      <c r="M132" s="9" t="n">
        <v>22</v>
      </c>
      <c r="N132" s="10" t="inlineStr">
        <is>
          <t>PROPOSÉ</t>
        </is>
      </c>
      <c r="O132" s="11">
        <f>IF(M132="","",M132-L132)</f>
        <v/>
      </c>
      <c r="P132" s="12">
        <f>IF(OR(M132="",M132=0),"",(M132-L132)/M132)</f>
        <v/>
      </c>
      <c r="Q132" s="13">
        <f>IF(OR(M132="",L132=0,L132=""),"",M132/L132)</f>
        <v/>
      </c>
      <c r="R132" s="11">
        <f>IF(M132="","",M132*1.2)</f>
        <v/>
      </c>
      <c r="S132" s="14" t="n"/>
      <c r="T132" s="15" t="n"/>
    </row>
    <row r="133">
      <c r="A133" s="16" t="inlineStr">
        <is>
          <t>PROD-0458</t>
        </is>
      </c>
      <c r="B133" s="16" t="inlineStr">
        <is>
          <t>Hydromel 75cl (fait a façon)</t>
        </is>
      </c>
      <c r="C133" s="16" t="inlineStr">
        <is>
          <t>BOISSON_ALCOOLISEE</t>
        </is>
      </c>
      <c r="D133" s="16" t="inlineStr">
        <is>
          <t>HYDROMEL</t>
        </is>
      </c>
      <c r="E133" s="16" t="inlineStr">
        <is>
          <t>PREMIUM</t>
        </is>
      </c>
      <c r="F133" s="16" t="inlineStr">
        <is>
          <t>Rucher du bocage Virois</t>
        </is>
      </c>
      <c r="G133" s="16" t="inlineStr">
        <is>
          <t>NORMAND DIRECT TERROIR</t>
        </is>
      </c>
      <c r="H133" s="16" t="inlineStr"/>
      <c r="I133" s="16" t="inlineStr">
        <is>
          <t>750 ml</t>
        </is>
      </c>
      <c r="J133" s="16" t="inlineStr">
        <is>
          <t>OUI</t>
        </is>
      </c>
      <c r="K133" s="17" t="inlineStr">
        <is>
          <t>5.5 %</t>
        </is>
      </c>
      <c r="L133" s="18" t="n">
        <v>11.1</v>
      </c>
      <c r="M133" s="9" t="n">
        <v>19.9</v>
      </c>
      <c r="N133" s="10" t="inlineStr">
        <is>
          <t>PROPOSÉ</t>
        </is>
      </c>
      <c r="O133" s="11">
        <f>IF(M133="","",M133-L133)</f>
        <v/>
      </c>
      <c r="P133" s="12">
        <f>IF(OR(M133="",M133=0),"",(M133-L133)/M133)</f>
        <v/>
      </c>
      <c r="Q133" s="13">
        <f>IF(OR(M133="",L133=0,L133=""),"",M133/L133)</f>
        <v/>
      </c>
      <c r="R133" s="11">
        <f>IF(M133="","",M133*1.055)</f>
        <v/>
      </c>
      <c r="S133" s="14" t="n"/>
      <c r="T133" s="15" t="n"/>
    </row>
    <row r="134">
      <c r="A134" s="6" t="inlineStr">
        <is>
          <t>PROD-0700</t>
        </is>
      </c>
      <c r="B134" s="6" t="inlineStr">
        <is>
          <t>Le Blanc Marin 75 cl btlle</t>
        </is>
      </c>
      <c r="C134" s="6" t="inlineStr">
        <is>
          <t>BOISSON_ALCOOLISEE</t>
        </is>
      </c>
      <c r="D134" s="6" t="inlineStr">
        <is>
          <t>VIN</t>
        </is>
      </c>
      <c r="E134" s="6" t="inlineStr">
        <is>
          <t>PREMIUM</t>
        </is>
      </c>
      <c r="F134" s="6" t="inlineStr">
        <is>
          <t>DOMAINE DE BRUCAN</t>
        </is>
      </c>
      <c r="G134" s="6" t="inlineStr">
        <is>
          <t>DOMAINE DE BRUCAN</t>
        </is>
      </c>
      <c r="H134" s="6" t="inlineStr">
        <is>
          <t>bouteille 75 cl (mention « btlle » sur la facture)</t>
        </is>
      </c>
      <c r="I134" s="6" t="inlineStr">
        <is>
          <t>750 ml</t>
        </is>
      </c>
      <c r="J134" s="6" t="inlineStr">
        <is>
          <t>OUI</t>
        </is>
      </c>
      <c r="K134" s="7" t="inlineStr">
        <is>
          <t>20 %</t>
        </is>
      </c>
      <c r="L134" s="8" t="n">
        <v>10.9</v>
      </c>
      <c r="M134" s="9" t="n">
        <v>17.5</v>
      </c>
      <c r="N134" s="10" t="inlineStr">
        <is>
          <t>PROPOSÉ</t>
        </is>
      </c>
      <c r="O134" s="11">
        <f>IF(M134="","",M134-L134)</f>
        <v/>
      </c>
      <c r="P134" s="12">
        <f>IF(OR(M134="",M134=0),"",(M134-L134)/M134)</f>
        <v/>
      </c>
      <c r="Q134" s="13">
        <f>IF(OR(M134="",L134=0,L134=""),"",M134/L134)</f>
        <v/>
      </c>
      <c r="R134" s="11">
        <f>IF(M134="","",M134*1.2)</f>
        <v/>
      </c>
      <c r="S134" s="14" t="n"/>
      <c r="T134" s="15" t="n"/>
    </row>
    <row r="135">
      <c r="A135" s="16" t="inlineStr">
        <is>
          <t>PROD-0703</t>
        </is>
      </c>
      <c r="B135" s="16" t="inlineStr">
        <is>
          <t>Les Hougues 75cl btlle</t>
        </is>
      </c>
      <c r="C135" s="16" t="inlineStr">
        <is>
          <t>BOISSON_ALCOOLISEE</t>
        </is>
      </c>
      <c r="D135" s="16" t="inlineStr">
        <is>
          <t>VIN</t>
        </is>
      </c>
      <c r="E135" s="16" t="inlineStr">
        <is>
          <t>PREMIUM</t>
        </is>
      </c>
      <c r="F135" s="16" t="inlineStr">
        <is>
          <t>DOMAINE DE BRUCAN</t>
        </is>
      </c>
      <c r="G135" s="16" t="inlineStr">
        <is>
          <t>DOMAINE DE BRUCAN</t>
        </is>
      </c>
      <c r="H135" s="16" t="inlineStr">
        <is>
          <t>bouteille 75 cl (mention « btlle » sur la facture)</t>
        </is>
      </c>
      <c r="I135" s="16" t="inlineStr">
        <is>
          <t>750 ml</t>
        </is>
      </c>
      <c r="J135" s="16" t="inlineStr">
        <is>
          <t>OUI</t>
        </is>
      </c>
      <c r="K135" s="17" t="inlineStr">
        <is>
          <t>20 %</t>
        </is>
      </c>
      <c r="L135" s="18" t="n">
        <v>10.9</v>
      </c>
      <c r="M135" s="9" t="n">
        <v>17.5</v>
      </c>
      <c r="N135" s="10" t="inlineStr">
        <is>
          <t>PROPOSÉ</t>
        </is>
      </c>
      <c r="O135" s="11">
        <f>IF(M135="","",M135-L135)</f>
        <v/>
      </c>
      <c r="P135" s="12">
        <f>IF(OR(M135="",M135=0),"",(M135-L135)/M135)</f>
        <v/>
      </c>
      <c r="Q135" s="13">
        <f>IF(OR(M135="",L135=0,L135=""),"",M135/L135)</f>
        <v/>
      </c>
      <c r="R135" s="11">
        <f>IF(M135="","",M135*1.2)</f>
        <v/>
      </c>
      <c r="S135" s="14" t="n"/>
      <c r="T135" s="15" t="n"/>
    </row>
    <row r="136">
      <c r="A136" s="6" t="inlineStr">
        <is>
          <t>PROD-0363</t>
        </is>
      </c>
      <c r="B136" s="6" t="inlineStr">
        <is>
          <t>Apéro Claids 70 cl 12°</t>
        </is>
      </c>
      <c r="C136" s="6" t="inlineStr">
        <is>
          <t>BOISSON_ALCOOLISEE</t>
        </is>
      </c>
      <c r="D136" s="6" t="inlineStr">
        <is>
          <t>POMMEAU</t>
        </is>
      </c>
      <c r="E136" s="6" t="inlineStr">
        <is>
          <t>PREMIUM</t>
        </is>
      </c>
      <c r="F136" s="6" t="inlineStr">
        <is>
          <t>GAEC DE CLAIDS</t>
        </is>
      </c>
      <c r="G136" s="6" t="inlineStr">
        <is>
          <t>NORMAND DIRECT TERROIR</t>
        </is>
      </c>
      <c r="H136" s="6" t="inlineStr"/>
      <c r="I136" s="6" t="inlineStr">
        <is>
          <t>700 ml</t>
        </is>
      </c>
      <c r="J136" s="6" t="inlineStr">
        <is>
          <t>OUI</t>
        </is>
      </c>
      <c r="K136" s="7" t="inlineStr">
        <is>
          <t>20 %</t>
        </is>
      </c>
      <c r="L136" s="8" t="n">
        <v>10.35</v>
      </c>
      <c r="M136" s="9" t="n">
        <v>17.6</v>
      </c>
      <c r="N136" s="10" t="inlineStr">
        <is>
          <t>PROPOSÉ</t>
        </is>
      </c>
      <c r="O136" s="11">
        <f>IF(M136="","",M136-L136)</f>
        <v/>
      </c>
      <c r="P136" s="12">
        <f>IF(OR(M136="",M136=0),"",(M136-L136)/M136)</f>
        <v/>
      </c>
      <c r="Q136" s="13">
        <f>IF(OR(M136="",L136=0,L136=""),"",M136/L136)</f>
        <v/>
      </c>
      <c r="R136" s="11">
        <f>IF(M136="","",M136*1.2)</f>
        <v/>
      </c>
      <c r="S136" s="14" t="n"/>
      <c r="T136" s="15" t="n"/>
    </row>
    <row r="137">
      <c r="A137" s="16" t="inlineStr">
        <is>
          <t>PROD-0308</t>
        </is>
      </c>
      <c r="B137" s="16" t="inlineStr">
        <is>
          <t>Calvados Arrangé Pomme Vanille 20 cl</t>
        </is>
      </c>
      <c r="C137" s="16" t="inlineStr">
        <is>
          <t>BOISSON_ALCOOLISEE</t>
        </is>
      </c>
      <c r="D137" s="16" t="inlineStr">
        <is>
          <t>SPIRITUEUX_POMME</t>
        </is>
      </c>
      <c r="E137" s="16" t="inlineStr">
        <is>
          <t>PREMIUM</t>
        </is>
      </c>
      <c r="F137" s="16" t="inlineStr">
        <is>
          <t>POM’ POM’</t>
        </is>
      </c>
      <c r="G137" s="16" t="inlineStr">
        <is>
          <t>NORMAND DIRECT TERROIR</t>
        </is>
      </c>
      <c r="H137" s="16" t="inlineStr"/>
      <c r="I137" s="16" t="inlineStr">
        <is>
          <t>200 ml</t>
        </is>
      </c>
      <c r="J137" s="16" t="inlineStr">
        <is>
          <t>OUI</t>
        </is>
      </c>
      <c r="K137" s="17" t="inlineStr">
        <is>
          <t>20 %</t>
        </is>
      </c>
      <c r="L137" s="18" t="n">
        <v>9.1</v>
      </c>
      <c r="M137" s="9" t="n">
        <v>14.7</v>
      </c>
      <c r="N137" s="10" t="inlineStr">
        <is>
          <t>PROPOSÉ</t>
        </is>
      </c>
      <c r="O137" s="11">
        <f>IF(M137="","",M137-L137)</f>
        <v/>
      </c>
      <c r="P137" s="12">
        <f>IF(OR(M137="",M137=0),"",(M137-L137)/M137)</f>
        <v/>
      </c>
      <c r="Q137" s="13">
        <f>IF(OR(M137="",L137=0,L137=""),"",M137/L137)</f>
        <v/>
      </c>
      <c r="R137" s="11">
        <f>IF(M137="","",M137*1.2)</f>
        <v/>
      </c>
      <c r="S137" s="14" t="n"/>
      <c r="T137" s="15" t="n"/>
    </row>
    <row r="138">
      <c r="A138" s="6" t="inlineStr">
        <is>
          <t>PROD-0310</t>
        </is>
      </c>
      <c r="B138" s="6" t="inlineStr">
        <is>
          <t>Calvados Arrangé Banane Vanille 20 cl</t>
        </is>
      </c>
      <c r="C138" s="6" t="inlineStr">
        <is>
          <t>BOISSON_ALCOOLISEE</t>
        </is>
      </c>
      <c r="D138" s="6" t="inlineStr">
        <is>
          <t>SPIRITUEUX_POMME</t>
        </is>
      </c>
      <c r="E138" s="6" t="inlineStr">
        <is>
          <t>PREMIUM</t>
        </is>
      </c>
      <c r="F138" s="6" t="inlineStr">
        <is>
          <t>POM’ POM’</t>
        </is>
      </c>
      <c r="G138" s="6" t="inlineStr">
        <is>
          <t>NORMAND DIRECT TERROIR</t>
        </is>
      </c>
      <c r="H138" s="6" t="inlineStr"/>
      <c r="I138" s="6" t="inlineStr">
        <is>
          <t>200 ml</t>
        </is>
      </c>
      <c r="J138" s="6" t="inlineStr">
        <is>
          <t>OUI</t>
        </is>
      </c>
      <c r="K138" s="7" t="inlineStr">
        <is>
          <t>20 %</t>
        </is>
      </c>
      <c r="L138" s="8" t="n">
        <v>9.1</v>
      </c>
      <c r="M138" s="9" t="n">
        <v>14.7</v>
      </c>
      <c r="N138" s="10" t="inlineStr">
        <is>
          <t>PROPOSÉ</t>
        </is>
      </c>
      <c r="O138" s="11">
        <f>IF(M138="","",M138-L138)</f>
        <v/>
      </c>
      <c r="P138" s="12">
        <f>IF(OR(M138="",M138=0),"",(M138-L138)/M138)</f>
        <v/>
      </c>
      <c r="Q138" s="13">
        <f>IF(OR(M138="",L138=0,L138=""),"",M138/L138)</f>
        <v/>
      </c>
      <c r="R138" s="11">
        <f>IF(M138="","",M138*1.2)</f>
        <v/>
      </c>
      <c r="S138" s="14" t="n"/>
      <c r="T138" s="15" t="n"/>
    </row>
    <row r="139">
      <c r="A139" s="16" t="inlineStr">
        <is>
          <t>PROD-0371</t>
        </is>
      </c>
      <c r="B139" s="16" t="inlineStr">
        <is>
          <t>Crème de Calvados 35 cl</t>
        </is>
      </c>
      <c r="C139" s="16" t="inlineStr">
        <is>
          <t>BOISSON_ALCOOLISEE</t>
        </is>
      </c>
      <c r="D139" s="16" t="inlineStr">
        <is>
          <t>LIQUEUR</t>
        </is>
      </c>
      <c r="E139" s="16" t="inlineStr">
        <is>
          <t>PREMIUM</t>
        </is>
      </c>
      <c r="F139" s="16" t="inlineStr">
        <is>
          <t>FERME DU LOTEROT</t>
        </is>
      </c>
      <c r="G139" s="16" t="inlineStr">
        <is>
          <t>NORMAND DIRECT TERROIR</t>
        </is>
      </c>
      <c r="H139" s="16" t="inlineStr"/>
      <c r="I139" s="16" t="inlineStr">
        <is>
          <t>350 ml</t>
        </is>
      </c>
      <c r="J139" s="16" t="inlineStr">
        <is>
          <t>OUI</t>
        </is>
      </c>
      <c r="K139" s="17" t="inlineStr">
        <is>
          <t>20 %</t>
        </is>
      </c>
      <c r="L139" s="18" t="n">
        <v>9.1</v>
      </c>
      <c r="M139" s="9" t="n">
        <v>15.1</v>
      </c>
      <c r="N139" s="10" t="inlineStr">
        <is>
          <t>PROPOSÉ</t>
        </is>
      </c>
      <c r="O139" s="11">
        <f>IF(M139="","",M139-L139)</f>
        <v/>
      </c>
      <c r="P139" s="12">
        <f>IF(OR(M139="",M139=0),"",(M139-L139)/M139)</f>
        <v/>
      </c>
      <c r="Q139" s="13">
        <f>IF(OR(M139="",L139=0,L139=""),"",M139/L139)</f>
        <v/>
      </c>
      <c r="R139" s="11">
        <f>IF(M139="","",M139*1.2)</f>
        <v/>
      </c>
      <c r="S139" s="14" t="n"/>
      <c r="T139" s="15" t="n"/>
    </row>
    <row r="140">
      <c r="A140" s="6" t="inlineStr">
        <is>
          <t>PROD-0290</t>
        </is>
      </c>
      <c r="B140" s="6" t="inlineStr">
        <is>
          <t>POMMEAU 35cl Pique-nique sous les pommiers</t>
        </is>
      </c>
      <c r="C140" s="6" t="inlineStr">
        <is>
          <t>BOISSON_ALCOOLISEE</t>
        </is>
      </c>
      <c r="D140" s="6" t="inlineStr">
        <is>
          <t>POMMEAU</t>
        </is>
      </c>
      <c r="E140" s="6" t="inlineStr">
        <is>
          <t>PREMIUM</t>
        </is>
      </c>
      <c r="F140" s="6" t="inlineStr">
        <is>
          <t>BALADES NORMANDES</t>
        </is>
      </c>
      <c r="G140" s="6" t="inlineStr">
        <is>
          <t>NORMAND DIRECT TERROIR</t>
        </is>
      </c>
      <c r="H140" s="6" t="inlineStr"/>
      <c r="I140" s="6" t="inlineStr">
        <is>
          <t>350 ml</t>
        </is>
      </c>
      <c r="J140" s="6" t="inlineStr">
        <is>
          <t>OUI</t>
        </is>
      </c>
      <c r="K140" s="7" t="inlineStr">
        <is>
          <t>20 %</t>
        </is>
      </c>
      <c r="L140" s="8" t="n">
        <v>9</v>
      </c>
      <c r="M140" s="9" t="n">
        <v>15.3</v>
      </c>
      <c r="N140" s="10" t="inlineStr">
        <is>
          <t>PROPOSÉ</t>
        </is>
      </c>
      <c r="O140" s="11">
        <f>IF(M140="","",M140-L140)</f>
        <v/>
      </c>
      <c r="P140" s="12">
        <f>IF(OR(M140="",M140=0),"",(M140-L140)/M140)</f>
        <v/>
      </c>
      <c r="Q140" s="13">
        <f>IF(OR(M140="",L140=0,L140=""),"",M140/L140)</f>
        <v/>
      </c>
      <c r="R140" s="11">
        <f>IF(M140="","",M140*1.2)</f>
        <v/>
      </c>
      <c r="S140" s="14" t="n"/>
      <c r="T140" s="15" t="n"/>
    </row>
    <row r="141">
      <c r="A141" s="16" t="inlineStr">
        <is>
          <t>PROD-0341</t>
        </is>
      </c>
      <c r="B141" s="16" t="inlineStr">
        <is>
          <t>BLANCHE d'alambic bio 20 cl</t>
        </is>
      </c>
      <c r="C141" s="16" t="inlineStr">
        <is>
          <t>BOISSON_ALCOOLISEE</t>
        </is>
      </c>
      <c r="D141" s="16" t="inlineStr">
        <is>
          <t>SPIRITUEUX_POMME</t>
        </is>
      </c>
      <c r="E141" s="16" t="inlineStr">
        <is>
          <t>PREMIUM</t>
        </is>
      </c>
      <c r="F141" s="16" t="inlineStr">
        <is>
          <t>MAISON HEROUT</t>
        </is>
      </c>
      <c r="G141" s="16" t="inlineStr">
        <is>
          <t>NORMAND DIRECT TERROIR</t>
        </is>
      </c>
      <c r="H141" s="16" t="inlineStr"/>
      <c r="I141" s="16" t="inlineStr">
        <is>
          <t>200 ml</t>
        </is>
      </c>
      <c r="J141" s="16" t="inlineStr">
        <is>
          <t>OUI</t>
        </is>
      </c>
      <c r="K141" s="17" t="inlineStr">
        <is>
          <t>20 %</t>
        </is>
      </c>
      <c r="L141" s="18" t="n">
        <v>8.75</v>
      </c>
      <c r="M141" s="9" t="n">
        <v>14.1</v>
      </c>
      <c r="N141" s="10" t="inlineStr">
        <is>
          <t>PROPOSÉ</t>
        </is>
      </c>
      <c r="O141" s="11">
        <f>IF(M141="","",M141-L141)</f>
        <v/>
      </c>
      <c r="P141" s="12">
        <f>IF(OR(M141="",M141=0),"",(M141-L141)/M141)</f>
        <v/>
      </c>
      <c r="Q141" s="13">
        <f>IF(OR(M141="",L141=0,L141=""),"",M141/L141)</f>
        <v/>
      </c>
      <c r="R141" s="11">
        <f>IF(M141="","",M141*1.2)</f>
        <v/>
      </c>
      <c r="S141" s="14" t="n"/>
      <c r="T141" s="15" t="n"/>
    </row>
    <row r="142">
      <c r="A142" s="6" t="inlineStr">
        <is>
          <t>PROD-0343</t>
        </is>
      </c>
      <c r="B142" s="6" t="inlineStr">
        <is>
          <t>pommeau bio 20 cl</t>
        </is>
      </c>
      <c r="C142" s="6" t="inlineStr">
        <is>
          <t>BOISSON_ALCOOLISEE</t>
        </is>
      </c>
      <c r="D142" s="6" t="inlineStr">
        <is>
          <t>POMMEAU</t>
        </is>
      </c>
      <c r="E142" s="6" t="inlineStr">
        <is>
          <t>PREMIUM</t>
        </is>
      </c>
      <c r="F142" s="6" t="inlineStr">
        <is>
          <t>MAISON HEROUT</t>
        </is>
      </c>
      <c r="G142" s="6" t="inlineStr">
        <is>
          <t>NORMAND DIRECT TERROIR</t>
        </is>
      </c>
      <c r="H142" s="6" t="inlineStr"/>
      <c r="I142" s="6" t="inlineStr">
        <is>
          <t>200 ml</t>
        </is>
      </c>
      <c r="J142" s="6" t="inlineStr">
        <is>
          <t>OUI</t>
        </is>
      </c>
      <c r="K142" s="7" t="inlineStr">
        <is>
          <t>20 %</t>
        </is>
      </c>
      <c r="L142" s="8" t="n">
        <v>6.27</v>
      </c>
      <c r="M142" s="9" t="n">
        <v>11.6</v>
      </c>
      <c r="N142" s="10" t="inlineStr">
        <is>
          <t>PROPOSÉ</t>
        </is>
      </c>
      <c r="O142" s="11">
        <f>IF(M142="","",M142-L142)</f>
        <v/>
      </c>
      <c r="P142" s="12">
        <f>IF(OR(M142="",M142=0),"",(M142-L142)/M142)</f>
        <v/>
      </c>
      <c r="Q142" s="13">
        <f>IF(OR(M142="",L142=0,L142=""),"",M142/L142)</f>
        <v/>
      </c>
      <c r="R142" s="11">
        <f>IF(M142="","",M142*1.2)</f>
        <v/>
      </c>
      <c r="S142" s="14" t="n"/>
      <c r="T142" s="15" t="n"/>
    </row>
    <row r="143">
      <c r="A143" s="16" t="inlineStr">
        <is>
          <t>PROD-0314</t>
        </is>
      </c>
      <c r="B143" s="16" t="inlineStr">
        <is>
          <t>Grande cuvée Cotentin AOC extra brut 2018-2019 75 cl</t>
        </is>
      </c>
      <c r="C143" s="16" t="inlineStr">
        <is>
          <t>BOISSON_ALCOOLISEE</t>
        </is>
      </c>
      <c r="D143" s="16" t="inlineStr">
        <is>
          <t>CIDRE</t>
        </is>
      </c>
      <c r="E143" s="16" t="inlineStr">
        <is>
          <t>PREMIUM</t>
        </is>
      </c>
      <c r="F143" s="16" t="inlineStr">
        <is>
          <t>MAISON HEROUT</t>
        </is>
      </c>
      <c r="G143" s="16" t="inlineStr">
        <is>
          <t>NORMAND DIRECT TERROIR</t>
        </is>
      </c>
      <c r="H143" s="16" t="inlineStr"/>
      <c r="I143" s="16" t="inlineStr">
        <is>
          <t>750 ml</t>
        </is>
      </c>
      <c r="J143" s="16" t="inlineStr">
        <is>
          <t>OUI</t>
        </is>
      </c>
      <c r="K143" s="17" t="inlineStr">
        <is>
          <t>20 %</t>
        </is>
      </c>
      <c r="L143" s="18" t="n">
        <v>5.28</v>
      </c>
      <c r="M143" s="9" t="n">
        <v>10.3</v>
      </c>
      <c r="N143" s="10" t="inlineStr">
        <is>
          <t>PROPOSÉ</t>
        </is>
      </c>
      <c r="O143" s="11">
        <f>IF(M143="","",M143-L143)</f>
        <v/>
      </c>
      <c r="P143" s="12">
        <f>IF(OR(M143="",M143=0),"",(M143-L143)/M143)</f>
        <v/>
      </c>
      <c r="Q143" s="13">
        <f>IF(OR(M143="",L143=0,L143=""),"",M143/L143)</f>
        <v/>
      </c>
      <c r="R143" s="11">
        <f>IF(M143="","",M143*1.2)</f>
        <v/>
      </c>
      <c r="S143" s="14" t="n"/>
      <c r="T143" s="15" t="n"/>
    </row>
    <row r="144">
      <c r="A144" s="6" t="inlineStr">
        <is>
          <t>PROD-0329</t>
        </is>
      </c>
      <c r="B144" s="6" t="inlineStr">
        <is>
          <t>Calvados Héritage 12 ans d'âge 150 cl</t>
        </is>
      </c>
      <c r="C144" s="6" t="inlineStr">
        <is>
          <t>BOISSON_ALCOOLISEE</t>
        </is>
      </c>
      <c r="D144" s="6" t="inlineStr">
        <is>
          <t>SPIRITUEUX_POMME</t>
        </is>
      </c>
      <c r="E144" s="6" t="inlineStr">
        <is>
          <t>PRESTIGE</t>
        </is>
      </c>
      <c r="F144" s="6" t="inlineStr">
        <is>
          <t>MAISON HEROUT</t>
        </is>
      </c>
      <c r="G144" s="6" t="inlineStr">
        <is>
          <t>NORMAND DIRECT TERROIR</t>
        </is>
      </c>
      <c r="H144" s="6" t="inlineStr"/>
      <c r="I144" s="6" t="inlineStr">
        <is>
          <t>1500 ml</t>
        </is>
      </c>
      <c r="J144" s="6" t="inlineStr">
        <is>
          <t>OUI</t>
        </is>
      </c>
      <c r="K144" s="7" t="inlineStr">
        <is>
          <t>20 %</t>
        </is>
      </c>
      <c r="L144" s="8" t="n">
        <v>96.69</v>
      </c>
      <c r="M144" s="9" t="n">
        <v>135.5</v>
      </c>
      <c r="N144" s="10" t="inlineStr">
        <is>
          <t>PROPOSÉ</t>
        </is>
      </c>
      <c r="O144" s="11">
        <f>IF(M144="","",M144-L144)</f>
        <v/>
      </c>
      <c r="P144" s="12">
        <f>IF(OR(M144="",M144=0),"",(M144-L144)/M144)</f>
        <v/>
      </c>
      <c r="Q144" s="13">
        <f>IF(OR(M144="",L144=0,L144=""),"",M144/L144)</f>
        <v/>
      </c>
      <c r="R144" s="11">
        <f>IF(M144="","",M144*1.2)</f>
        <v/>
      </c>
      <c r="S144" s="14" t="n"/>
      <c r="T144" s="15" t="n"/>
    </row>
    <row r="145">
      <c r="A145" s="16" t="inlineStr">
        <is>
          <t>PROD-0669</t>
        </is>
      </c>
      <c r="B145" s="16" t="inlineStr">
        <is>
          <t>Fût Fraicheur</t>
        </is>
      </c>
      <c r="C145" s="16" t="inlineStr">
        <is>
          <t>BOISSON_ALCOOLISEE</t>
        </is>
      </c>
      <c r="D145" s="16" t="inlineStr">
        <is>
          <t>CIDRE</t>
        </is>
      </c>
      <c r="E145" s="16" t="inlineStr">
        <is>
          <t>PRESTIGE</t>
        </is>
      </c>
      <c r="F145" s="16" t="inlineStr">
        <is>
          <t>SARL DOMAINE DE BILLY</t>
        </is>
      </c>
      <c r="G145" s="16" t="inlineStr">
        <is>
          <t>SARL DOMAINE DE BILLY</t>
        </is>
      </c>
      <c r="H145" s="16" t="inlineStr">
        <is>
          <t>20 L</t>
        </is>
      </c>
      <c r="I145" s="16" t="inlineStr">
        <is>
          <t>20000 ml</t>
        </is>
      </c>
      <c r="J145" s="16" t="inlineStr">
        <is>
          <t>OUI</t>
        </is>
      </c>
      <c r="K145" s="20" t="inlineStr">
        <is>
          <t>À CONFIRMER</t>
        </is>
      </c>
      <c r="L145" s="18" t="n">
        <v>85</v>
      </c>
      <c r="M145" s="9" t="n">
        <v>132.5</v>
      </c>
      <c r="N145" s="10" t="inlineStr">
        <is>
          <t>PROPOSÉ</t>
        </is>
      </c>
      <c r="O145" s="11">
        <f>IF(M145="","",M145-L145)</f>
        <v/>
      </c>
      <c r="P145" s="12">
        <f>IF(OR(M145="",M145=0),"",(M145-L145)/M145)</f>
        <v/>
      </c>
      <c r="Q145" s="13">
        <f>IF(OR(M145="",L145=0,L145=""),"",M145/L145)</f>
        <v/>
      </c>
      <c r="R145" s="11">
        <f>IF(M145="","","TVA à confirmer")</f>
        <v/>
      </c>
      <c r="S145" s="14" t="n"/>
      <c r="T145" s="15" t="n"/>
    </row>
    <row r="146">
      <c r="A146" s="6" t="inlineStr">
        <is>
          <t>PROD-0333</t>
        </is>
      </c>
      <c r="B146" s="6" t="inlineStr">
        <is>
          <t>Calvados AOC-XO hors d'âge 6 ans 150 cl</t>
        </is>
      </c>
      <c r="C146" s="6" t="inlineStr">
        <is>
          <t>BOISSON_ALCOOLISEE</t>
        </is>
      </c>
      <c r="D146" s="6" t="inlineStr">
        <is>
          <t>SPIRITUEUX_POMME</t>
        </is>
      </c>
      <c r="E146" s="6" t="inlineStr">
        <is>
          <t>PRESTIGE</t>
        </is>
      </c>
      <c r="F146" s="6" t="inlineStr">
        <is>
          <t>MAISON HEROUT</t>
        </is>
      </c>
      <c r="G146" s="6" t="inlineStr">
        <is>
          <t>NORMAND DIRECT TERROIR</t>
        </is>
      </c>
      <c r="H146" s="6" t="inlineStr"/>
      <c r="I146" s="6" t="inlineStr">
        <is>
          <t>1500 ml</t>
        </is>
      </c>
      <c r="J146" s="6" t="inlineStr">
        <is>
          <t>OUI</t>
        </is>
      </c>
      <c r="K146" s="7" t="inlineStr">
        <is>
          <t>20 %</t>
        </is>
      </c>
      <c r="L146" s="8" t="n">
        <v>82.83</v>
      </c>
      <c r="M146" s="9" t="n">
        <v>116</v>
      </c>
      <c r="N146" s="10" t="inlineStr">
        <is>
          <t>PROPOSÉ</t>
        </is>
      </c>
      <c r="O146" s="11">
        <f>IF(M146="","",M146-L146)</f>
        <v/>
      </c>
      <c r="P146" s="12">
        <f>IF(OR(M146="",M146=0),"",(M146-L146)/M146)</f>
        <v/>
      </c>
      <c r="Q146" s="13">
        <f>IF(OR(M146="",L146=0,L146=""),"",M146/L146)</f>
        <v/>
      </c>
      <c r="R146" s="11">
        <f>IF(M146="","",M146*1.2)</f>
        <v/>
      </c>
      <c r="S146" s="14" t="n"/>
      <c r="T146" s="15" t="n"/>
    </row>
    <row r="147">
      <c r="A147" s="16" t="inlineStr">
        <is>
          <t>PROD-0668</t>
        </is>
      </c>
      <c r="B147" s="16" t="inlineStr">
        <is>
          <t>Fût Corsé</t>
        </is>
      </c>
      <c r="C147" s="16" t="inlineStr">
        <is>
          <t>BOISSON_ALCOOLISEE</t>
        </is>
      </c>
      <c r="D147" s="16" t="inlineStr">
        <is>
          <t>CIDRE</t>
        </is>
      </c>
      <c r="E147" s="16" t="inlineStr">
        <is>
          <t>PRESTIGE</t>
        </is>
      </c>
      <c r="F147" s="16" t="inlineStr">
        <is>
          <t>SARL DOMAINE DE BILLY</t>
        </is>
      </c>
      <c r="G147" s="16" t="inlineStr">
        <is>
          <t>SARL DOMAINE DE BILLY</t>
        </is>
      </c>
      <c r="H147" s="16" t="inlineStr">
        <is>
          <t>20 L</t>
        </is>
      </c>
      <c r="I147" s="16" t="inlineStr">
        <is>
          <t>20000 ml</t>
        </is>
      </c>
      <c r="J147" s="16" t="inlineStr">
        <is>
          <t>OUI</t>
        </is>
      </c>
      <c r="K147" s="20" t="inlineStr">
        <is>
          <t>À CONFIRMER</t>
        </is>
      </c>
      <c r="L147" s="18" t="n">
        <v>79</v>
      </c>
      <c r="M147" s="9" t="n">
        <v>123</v>
      </c>
      <c r="N147" s="10" t="inlineStr">
        <is>
          <t>PROPOSÉ</t>
        </is>
      </c>
      <c r="O147" s="11">
        <f>IF(M147="","",M147-L147)</f>
        <v/>
      </c>
      <c r="P147" s="12">
        <f>IF(OR(M147="",M147=0),"",(M147-L147)/M147)</f>
        <v/>
      </c>
      <c r="Q147" s="13">
        <f>IF(OR(M147="",L147=0,L147=""),"",M147/L147)</f>
        <v/>
      </c>
      <c r="R147" s="11">
        <f>IF(M147="","","TVA à confirmer")</f>
        <v/>
      </c>
      <c r="S147" s="14" t="n"/>
      <c r="T147" s="15" t="n"/>
    </row>
    <row r="148">
      <c r="A148" s="6" t="inlineStr">
        <is>
          <t>PROD-0337</t>
        </is>
      </c>
      <c r="B148" s="6" t="inlineStr">
        <is>
          <t>Calvados AOC-VSOP vielle réserve 4 ans 150 cl</t>
        </is>
      </c>
      <c r="C148" s="6" t="inlineStr">
        <is>
          <t>BOISSON_ALCOOLISEE</t>
        </is>
      </c>
      <c r="D148" s="6" t="inlineStr">
        <is>
          <t>SPIRITUEUX_POMME</t>
        </is>
      </c>
      <c r="E148" s="6" t="inlineStr">
        <is>
          <t>PRESTIGE</t>
        </is>
      </c>
      <c r="F148" s="6" t="inlineStr">
        <is>
          <t>MAISON HEROUT</t>
        </is>
      </c>
      <c r="G148" s="6" t="inlineStr">
        <is>
          <t>NORMAND DIRECT TERROIR</t>
        </is>
      </c>
      <c r="H148" s="6" t="inlineStr"/>
      <c r="I148" s="6" t="inlineStr">
        <is>
          <t>1500 ml</t>
        </is>
      </c>
      <c r="J148" s="6" t="inlineStr">
        <is>
          <t>OUI</t>
        </is>
      </c>
      <c r="K148" s="7" t="inlineStr">
        <is>
          <t>20 %</t>
        </is>
      </c>
      <c r="L148" s="8" t="n">
        <v>69.84999999999999</v>
      </c>
      <c r="M148" s="9" t="n">
        <v>98</v>
      </c>
      <c r="N148" s="10" t="inlineStr">
        <is>
          <t>PROPOSÉ</t>
        </is>
      </c>
      <c r="O148" s="11">
        <f>IF(M148="","",M148-L148)</f>
        <v/>
      </c>
      <c r="P148" s="12">
        <f>IF(OR(M148="",M148=0),"",(M148-L148)/M148)</f>
        <v/>
      </c>
      <c r="Q148" s="13">
        <f>IF(OR(M148="",L148=0,L148=""),"",M148/L148)</f>
        <v/>
      </c>
      <c r="R148" s="11">
        <f>IF(M148="","",M148*1.2)</f>
        <v/>
      </c>
      <c r="S148" s="14" t="n"/>
      <c r="T148" s="15" t="n"/>
    </row>
    <row r="149">
      <c r="A149" s="16" t="inlineStr">
        <is>
          <t>PROD-0328</t>
        </is>
      </c>
      <c r="B149" s="16" t="inlineStr">
        <is>
          <t>Calvados Héritage 12 ans d'âge 70 cl</t>
        </is>
      </c>
      <c r="C149" s="16" t="inlineStr">
        <is>
          <t>BOISSON_ALCOOLISEE</t>
        </is>
      </c>
      <c r="D149" s="16" t="inlineStr">
        <is>
          <t>SPIRITUEUX_POMME</t>
        </is>
      </c>
      <c r="E149" s="16" t="inlineStr">
        <is>
          <t>PRESTIGE</t>
        </is>
      </c>
      <c r="F149" s="16" t="inlineStr">
        <is>
          <t>MAISON HEROUT</t>
        </is>
      </c>
      <c r="G149" s="16" t="inlineStr">
        <is>
          <t>NORMAND DIRECT TERROIR</t>
        </is>
      </c>
      <c r="H149" s="16" t="inlineStr"/>
      <c r="I149" s="16" t="inlineStr">
        <is>
          <t>700 ml</t>
        </is>
      </c>
      <c r="J149" s="16" t="inlineStr">
        <is>
          <t>OUI</t>
        </is>
      </c>
      <c r="K149" s="17" t="inlineStr">
        <is>
          <t>20 %</t>
        </is>
      </c>
      <c r="L149" s="18" t="n">
        <v>43.34</v>
      </c>
      <c r="M149" s="9" t="n">
        <v>60.5</v>
      </c>
      <c r="N149" s="10" t="inlineStr">
        <is>
          <t>PROPOSÉ</t>
        </is>
      </c>
      <c r="O149" s="11">
        <f>IF(M149="","",M149-L149)</f>
        <v/>
      </c>
      <c r="P149" s="12">
        <f>IF(OR(M149="",M149=0),"",(M149-L149)/M149)</f>
        <v/>
      </c>
      <c r="Q149" s="13">
        <f>IF(OR(M149="",L149=0,L149=""),"",M149/L149)</f>
        <v/>
      </c>
      <c r="R149" s="11">
        <f>IF(M149="","",M149*1.2)</f>
        <v/>
      </c>
      <c r="S149" s="14" t="n"/>
      <c r="T149" s="15" t="n"/>
    </row>
    <row r="150">
      <c r="A150" s="6" t="inlineStr">
        <is>
          <t>PROD-0692</t>
        </is>
      </c>
      <c r="B150" s="6" t="inlineStr">
        <is>
          <t>CALVADOS - 20 ANS</t>
        </is>
      </c>
      <c r="C150" s="6" t="inlineStr">
        <is>
          <t>BOISSON_ALCOOLISEE</t>
        </is>
      </c>
      <c r="D150" s="6" t="inlineStr">
        <is>
          <t>SPIRITUEUX_POMME</t>
        </is>
      </c>
      <c r="E150" s="6" t="inlineStr">
        <is>
          <t>PRESTIGE</t>
        </is>
      </c>
      <c r="F150" s="6" t="inlineStr">
        <is>
          <t>SARL DOMAINE DE BILLY</t>
        </is>
      </c>
      <c r="G150" s="6" t="inlineStr">
        <is>
          <t>SARL DOMAINE DE BILLY</t>
        </is>
      </c>
      <c r="H150" s="6" t="inlineStr">
        <is>
          <t>70 cl</t>
        </is>
      </c>
      <c r="I150" s="6" t="inlineStr">
        <is>
          <t>700 ml</t>
        </is>
      </c>
      <c r="J150" s="6" t="inlineStr">
        <is>
          <t>OUI</t>
        </is>
      </c>
      <c r="K150" s="19" t="inlineStr">
        <is>
          <t>À CONFIRMER</t>
        </is>
      </c>
      <c r="L150" s="8" t="n">
        <v>43.16</v>
      </c>
      <c r="M150" s="9" t="n">
        <v>60.5</v>
      </c>
      <c r="N150" s="10" t="inlineStr">
        <is>
          <t>PROPOSÉ</t>
        </is>
      </c>
      <c r="O150" s="11">
        <f>IF(M150="","",M150-L150)</f>
        <v/>
      </c>
      <c r="P150" s="12">
        <f>IF(OR(M150="",M150=0),"",(M150-L150)/M150)</f>
        <v/>
      </c>
      <c r="Q150" s="13">
        <f>IF(OR(M150="",L150=0,L150=""),"",M150/L150)</f>
        <v/>
      </c>
      <c r="R150" s="11">
        <f>IF(M150="","","TVA à confirmer")</f>
        <v/>
      </c>
      <c r="S150" s="14" t="n"/>
      <c r="T150" s="15" t="n"/>
    </row>
    <row r="151">
      <c r="A151" s="16" t="inlineStr">
        <is>
          <t>PROD-0366</t>
        </is>
      </c>
      <c r="B151" s="16" t="inlineStr">
        <is>
          <t>"Keys' Claids" 70 cl 41°</t>
        </is>
      </c>
      <c r="C151" s="16" t="inlineStr">
        <is>
          <t>BOISSON_ALCOOLISEE</t>
        </is>
      </c>
      <c r="D151" s="16" t="inlineStr">
        <is>
          <t>SPIRITUEUX_POMME</t>
        </is>
      </c>
      <c r="E151" s="16" t="inlineStr">
        <is>
          <t>PRESTIGE</t>
        </is>
      </c>
      <c r="F151" s="16" t="inlineStr">
        <is>
          <t>GAEC DE CLAIDS</t>
        </is>
      </c>
      <c r="G151" s="16" t="inlineStr">
        <is>
          <t>NORMAND DIRECT TERROIR</t>
        </is>
      </c>
      <c r="H151" s="16" t="inlineStr"/>
      <c r="I151" s="16" t="inlineStr">
        <is>
          <t>700 ml</t>
        </is>
      </c>
      <c r="J151" s="16" t="inlineStr">
        <is>
          <t>OUI</t>
        </is>
      </c>
      <c r="K151" s="17" t="inlineStr">
        <is>
          <t>20 %</t>
        </is>
      </c>
      <c r="L151" s="18" t="n">
        <v>38.33</v>
      </c>
      <c r="M151" s="9" t="n">
        <v>57</v>
      </c>
      <c r="N151" s="10" t="inlineStr">
        <is>
          <t>PROPOSÉ</t>
        </is>
      </c>
      <c r="O151" s="11">
        <f>IF(M151="","",M151-L151)</f>
        <v/>
      </c>
      <c r="P151" s="12">
        <f>IF(OR(M151="",M151=0),"",(M151-L151)/M151)</f>
        <v/>
      </c>
      <c r="Q151" s="13">
        <f>IF(OR(M151="",L151=0,L151=""),"",M151/L151)</f>
        <v/>
      </c>
      <c r="R151" s="11">
        <f>IF(M151="","",M151*1.2)</f>
        <v/>
      </c>
      <c r="S151" s="14" t="n"/>
      <c r="T151" s="15" t="n"/>
    </row>
    <row r="152">
      <c r="A152" s="6" t="inlineStr">
        <is>
          <t>PROD-0332</t>
        </is>
      </c>
      <c r="B152" s="6" t="inlineStr">
        <is>
          <t>Calvados AOC-XO hors d'âge 6 ans 70 cl</t>
        </is>
      </c>
      <c r="C152" s="6" t="inlineStr">
        <is>
          <t>BOISSON_ALCOOLISEE</t>
        </is>
      </c>
      <c r="D152" s="6" t="inlineStr">
        <is>
          <t>SPIRITUEUX_POMME</t>
        </is>
      </c>
      <c r="E152" s="6" t="inlineStr">
        <is>
          <t>PRESTIGE</t>
        </is>
      </c>
      <c r="F152" s="6" t="inlineStr">
        <is>
          <t>MAISON HEROUT</t>
        </is>
      </c>
      <c r="G152" s="6" t="inlineStr">
        <is>
          <t>NORMAND DIRECT TERROIR</t>
        </is>
      </c>
      <c r="H152" s="6" t="inlineStr"/>
      <c r="I152" s="6" t="inlineStr">
        <is>
          <t>700 ml</t>
        </is>
      </c>
      <c r="J152" s="6" t="inlineStr">
        <is>
          <t>OUI</t>
        </is>
      </c>
      <c r="K152" s="7" t="inlineStr">
        <is>
          <t>20 %</t>
        </is>
      </c>
      <c r="L152" s="8" t="n">
        <v>36.52</v>
      </c>
      <c r="M152" s="9" t="n">
        <v>54.5</v>
      </c>
      <c r="N152" s="10" t="inlineStr">
        <is>
          <t>PROPOSÉ</t>
        </is>
      </c>
      <c r="O152" s="11">
        <f>IF(M152="","",M152-L152)</f>
        <v/>
      </c>
      <c r="P152" s="12">
        <f>IF(OR(M152="",M152=0),"",(M152-L152)/M152)</f>
        <v/>
      </c>
      <c r="Q152" s="13">
        <f>IF(OR(M152="",L152=0,L152=""),"",M152/L152)</f>
        <v/>
      </c>
      <c r="R152" s="11">
        <f>IF(M152="","",M152*1.2)</f>
        <v/>
      </c>
      <c r="S152" s="14" t="n"/>
      <c r="T152" s="15" t="n"/>
    </row>
    <row r="153">
      <c r="A153" s="16" t="inlineStr">
        <is>
          <t>PROD-0693</t>
        </is>
      </c>
      <c r="B153" s="16" t="inlineStr">
        <is>
          <t>CALVADOS - 12 ANS</t>
        </is>
      </c>
      <c r="C153" s="16" t="inlineStr">
        <is>
          <t>BOISSON_ALCOOLISEE</t>
        </is>
      </c>
      <c r="D153" s="16" t="inlineStr">
        <is>
          <t>SPIRITUEUX_POMME</t>
        </is>
      </c>
      <c r="E153" s="16" t="inlineStr">
        <is>
          <t>PRESTIGE</t>
        </is>
      </c>
      <c r="F153" s="16" t="inlineStr">
        <is>
          <t>SARL DOMAINE DE BILLY</t>
        </is>
      </c>
      <c r="G153" s="16" t="inlineStr">
        <is>
          <t>SARL DOMAINE DE BILLY</t>
        </is>
      </c>
      <c r="H153" s="16" t="inlineStr">
        <is>
          <t>70 cl</t>
        </is>
      </c>
      <c r="I153" s="16" t="inlineStr">
        <is>
          <t>700 ml</t>
        </is>
      </c>
      <c r="J153" s="16" t="inlineStr">
        <is>
          <t>OUI</t>
        </is>
      </c>
      <c r="K153" s="20" t="inlineStr">
        <is>
          <t>À CONFIRMER</t>
        </is>
      </c>
      <c r="L153" s="18" t="n">
        <v>35.16</v>
      </c>
      <c r="M153" s="9" t="n">
        <v>52.5</v>
      </c>
      <c r="N153" s="10" t="inlineStr">
        <is>
          <t>PROPOSÉ</t>
        </is>
      </c>
      <c r="O153" s="11">
        <f>IF(M153="","",M153-L153)</f>
        <v/>
      </c>
      <c r="P153" s="12">
        <f>IF(OR(M153="",M153=0),"",(M153-L153)/M153)</f>
        <v/>
      </c>
      <c r="Q153" s="13">
        <f>IF(OR(M153="",L153=0,L153=""),"",M153/L153)</f>
        <v/>
      </c>
      <c r="R153" s="11">
        <f>IF(M153="","","TVA à confirmer")</f>
        <v/>
      </c>
      <c r="S153" s="14" t="n"/>
      <c r="T153" s="15" t="n"/>
    </row>
    <row r="154">
      <c r="A154" s="6" t="inlineStr">
        <is>
          <t>PROD-0336</t>
        </is>
      </c>
      <c r="B154" s="6" t="inlineStr">
        <is>
          <t>Calvados AOC-VSOP vielle réserve 4 ans 70 cl</t>
        </is>
      </c>
      <c r="C154" s="6" t="inlineStr">
        <is>
          <t>BOISSON_ALCOOLISEE</t>
        </is>
      </c>
      <c r="D154" s="6" t="inlineStr">
        <is>
          <t>SPIRITUEUX_POMME</t>
        </is>
      </c>
      <c r="E154" s="6" t="inlineStr">
        <is>
          <t>PRESTIGE</t>
        </is>
      </c>
      <c r="F154" s="6" t="inlineStr">
        <is>
          <t>MAISON HEROUT</t>
        </is>
      </c>
      <c r="G154" s="6" t="inlineStr">
        <is>
          <t>NORMAND DIRECT TERROIR</t>
        </is>
      </c>
      <c r="H154" s="6" t="inlineStr"/>
      <c r="I154" s="6" t="inlineStr">
        <is>
          <t>700 ml</t>
        </is>
      </c>
      <c r="J154" s="6" t="inlineStr">
        <is>
          <t>OUI</t>
        </is>
      </c>
      <c r="K154" s="7" t="inlineStr">
        <is>
          <t>20 %</t>
        </is>
      </c>
      <c r="L154" s="8" t="n">
        <v>30.7</v>
      </c>
      <c r="M154" s="9" t="n">
        <v>45.5</v>
      </c>
      <c r="N154" s="10" t="inlineStr">
        <is>
          <t>PROPOSÉ</t>
        </is>
      </c>
      <c r="O154" s="11">
        <f>IF(M154="","",M154-L154)</f>
        <v/>
      </c>
      <c r="P154" s="12">
        <f>IF(OR(M154="",M154=0),"",(M154-L154)/M154)</f>
        <v/>
      </c>
      <c r="Q154" s="13">
        <f>IF(OR(M154="",L154=0,L154=""),"",M154/L154)</f>
        <v/>
      </c>
      <c r="R154" s="11">
        <f>IF(M154="","",M154*1.2)</f>
        <v/>
      </c>
      <c r="S154" s="14" t="n"/>
      <c r="T154" s="15" t="n"/>
    </row>
    <row r="155">
      <c r="A155" s="16" t="inlineStr">
        <is>
          <t>PROD-0360</t>
        </is>
      </c>
      <c r="B155" s="16" t="inlineStr">
        <is>
          <t>Fine de Claids 70 cl 40°</t>
        </is>
      </c>
      <c r="C155" s="16" t="inlineStr">
        <is>
          <t>BOISSON_ALCOOLISEE</t>
        </is>
      </c>
      <c r="D155" s="16" t="inlineStr">
        <is>
          <t>SPIRITUEUX_POMME</t>
        </is>
      </c>
      <c r="E155" s="16" t="inlineStr">
        <is>
          <t>PRESTIGE</t>
        </is>
      </c>
      <c r="F155" s="16" t="inlineStr">
        <is>
          <t>GAEC DE CLAIDS</t>
        </is>
      </c>
      <c r="G155" s="16" t="inlineStr">
        <is>
          <t>NORMAND DIRECT TERROIR</t>
        </is>
      </c>
      <c r="H155" s="16" t="inlineStr"/>
      <c r="I155" s="16" t="inlineStr">
        <is>
          <t>700 ml</t>
        </is>
      </c>
      <c r="J155" s="16" t="inlineStr">
        <is>
          <t>OUI</t>
        </is>
      </c>
      <c r="K155" s="17" t="inlineStr">
        <is>
          <t>20 %</t>
        </is>
      </c>
      <c r="L155" s="18" t="n">
        <v>30.2</v>
      </c>
      <c r="M155" s="9" t="n">
        <v>45</v>
      </c>
      <c r="N155" s="10" t="inlineStr">
        <is>
          <t>PROPOSÉ</t>
        </is>
      </c>
      <c r="O155" s="11">
        <f>IF(M155="","",M155-L155)</f>
        <v/>
      </c>
      <c r="P155" s="12">
        <f>IF(OR(M155="",M155=0),"",(M155-L155)/M155)</f>
        <v/>
      </c>
      <c r="Q155" s="13">
        <f>IF(OR(M155="",L155=0,L155=""),"",M155/L155)</f>
        <v/>
      </c>
      <c r="R155" s="11">
        <f>IF(M155="","",M155*1.2)</f>
        <v/>
      </c>
      <c r="S155" s="14" t="n"/>
      <c r="T155" s="15" t="n"/>
    </row>
    <row r="156">
      <c r="A156" s="6" t="inlineStr">
        <is>
          <t>PROD-0694</t>
        </is>
      </c>
      <c r="B156" s="6" t="inlineStr">
        <is>
          <t>CALVADOS - HORS D'ÂGE</t>
        </is>
      </c>
      <c r="C156" s="6" t="inlineStr">
        <is>
          <t>BOISSON_ALCOOLISEE</t>
        </is>
      </c>
      <c r="D156" s="6" t="inlineStr">
        <is>
          <t>SPIRITUEUX_POMME</t>
        </is>
      </c>
      <c r="E156" s="6" t="inlineStr">
        <is>
          <t>PRESTIGE</t>
        </is>
      </c>
      <c r="F156" s="6" t="inlineStr">
        <is>
          <t>SARL DOMAINE DE BILLY</t>
        </is>
      </c>
      <c r="G156" s="6" t="inlineStr">
        <is>
          <t>SARL DOMAINE DE BILLY</t>
        </is>
      </c>
      <c r="H156" s="6" t="inlineStr">
        <is>
          <t>70 cl</t>
        </is>
      </c>
      <c r="I156" s="6" t="inlineStr">
        <is>
          <t>700 ml</t>
        </is>
      </c>
      <c r="J156" s="6" t="inlineStr">
        <is>
          <t>OUI</t>
        </is>
      </c>
      <c r="K156" s="19" t="inlineStr">
        <is>
          <t>À CONFIRMER</t>
        </is>
      </c>
      <c r="L156" s="8" t="n">
        <v>29.16</v>
      </c>
      <c r="M156" s="9" t="n">
        <v>43.5</v>
      </c>
      <c r="N156" s="10" t="inlineStr">
        <is>
          <t>PROPOSÉ</t>
        </is>
      </c>
      <c r="O156" s="11">
        <f>IF(M156="","",M156-L156)</f>
        <v/>
      </c>
      <c r="P156" s="12">
        <f>IF(OR(M156="",M156=0),"",(M156-L156)/M156)</f>
        <v/>
      </c>
      <c r="Q156" s="13">
        <f>IF(OR(M156="",L156=0,L156=""),"",M156/L156)</f>
        <v/>
      </c>
      <c r="R156" s="11">
        <f>IF(M156="","","TVA à confirmer")</f>
        <v/>
      </c>
      <c r="S156" s="14" t="n"/>
      <c r="T156" s="15" t="n"/>
    </row>
    <row r="157">
      <c r="A157" s="16" t="inlineStr">
        <is>
          <t>PROD-0400</t>
        </is>
      </c>
      <c r="B157" s="16" t="inlineStr">
        <is>
          <t>PINOT NOIR magnum 150 CL rouge 12 ° en coffret de 3</t>
        </is>
      </c>
      <c r="C157" s="16" t="inlineStr">
        <is>
          <t>BOISSON_ALCOOLISEE</t>
        </is>
      </c>
      <c r="D157" s="16" t="inlineStr">
        <is>
          <t>VIN</t>
        </is>
      </c>
      <c r="E157" s="16" t="inlineStr">
        <is>
          <t>PRESTIGE</t>
        </is>
      </c>
      <c r="F157" s="16" t="inlineStr">
        <is>
          <t>LES ARPENTS DU SOLEIL</t>
        </is>
      </c>
      <c r="G157" s="16" t="inlineStr">
        <is>
          <t>NORMAND DIRECT TERROIR</t>
        </is>
      </c>
      <c r="H157" s="16" t="inlineStr"/>
      <c r="I157" s="16" t="inlineStr">
        <is>
          <t>1500 ml</t>
        </is>
      </c>
      <c r="J157" s="16" t="inlineStr">
        <is>
          <t>OUI</t>
        </is>
      </c>
      <c r="K157" s="17" t="inlineStr">
        <is>
          <t>20 %</t>
        </is>
      </c>
      <c r="L157" s="18" t="n">
        <v>28.75</v>
      </c>
      <c r="M157" s="9" t="n">
        <v>43</v>
      </c>
      <c r="N157" s="10" t="inlineStr">
        <is>
          <t>PROPOSÉ</t>
        </is>
      </c>
      <c r="O157" s="11">
        <f>IF(M157="","",M157-L157)</f>
        <v/>
      </c>
      <c r="P157" s="12">
        <f>IF(OR(M157="",M157=0),"",(M157-L157)/M157)</f>
        <v/>
      </c>
      <c r="Q157" s="13">
        <f>IF(OR(M157="",L157=0,L157=""),"",M157/L157)</f>
        <v/>
      </c>
      <c r="R157" s="11">
        <f>IF(M157="","",M157*1.2)</f>
        <v/>
      </c>
      <c r="S157" s="14" t="n"/>
      <c r="T157" s="15" t="n"/>
    </row>
    <row r="158">
      <c r="A158" s="6" t="inlineStr">
        <is>
          <t>PROD-0403</t>
        </is>
      </c>
      <c r="B158" s="6" t="inlineStr">
        <is>
          <t>AUXERROIS magnum 150 CL blanc 12 °  en coffret de 3</t>
        </is>
      </c>
      <c r="C158" s="6" t="inlineStr">
        <is>
          <t>BOISSON_ALCOOLISEE</t>
        </is>
      </c>
      <c r="D158" s="6" t="inlineStr">
        <is>
          <t>VIN</t>
        </is>
      </c>
      <c r="E158" s="6" t="inlineStr">
        <is>
          <t>PRESTIGE</t>
        </is>
      </c>
      <c r="F158" s="6" t="inlineStr">
        <is>
          <t>LES ARPENTS DU SOLEIL</t>
        </is>
      </c>
      <c r="G158" s="6" t="inlineStr">
        <is>
          <t>NORMAND DIRECT TERROIR</t>
        </is>
      </c>
      <c r="H158" s="6" t="inlineStr"/>
      <c r="I158" s="6" t="inlineStr">
        <is>
          <t>1500 ml</t>
        </is>
      </c>
      <c r="J158" s="6" t="inlineStr">
        <is>
          <t>OUI</t>
        </is>
      </c>
      <c r="K158" s="7" t="inlineStr">
        <is>
          <t>20 %</t>
        </is>
      </c>
      <c r="L158" s="8" t="n">
        <v>28.75</v>
      </c>
      <c r="M158" s="9" t="n">
        <v>43</v>
      </c>
      <c r="N158" s="10" t="inlineStr">
        <is>
          <t>PROPOSÉ</t>
        </is>
      </c>
      <c r="O158" s="11">
        <f>IF(M158="","",M158-L158)</f>
        <v/>
      </c>
      <c r="P158" s="12">
        <f>IF(OR(M158="",M158=0),"",(M158-L158)/M158)</f>
        <v/>
      </c>
      <c r="Q158" s="13">
        <f>IF(OR(M158="",L158=0,L158=""),"",M158/L158)</f>
        <v/>
      </c>
      <c r="R158" s="11">
        <f>IF(M158="","",M158*1.2)</f>
        <v/>
      </c>
      <c r="S158" s="14" t="n"/>
      <c r="T158" s="15" t="n"/>
    </row>
    <row r="159">
      <c r="A159" s="16" t="inlineStr">
        <is>
          <t>PROD-0359</t>
        </is>
      </c>
      <c r="B159" s="16" t="inlineStr">
        <is>
          <t>Calvados 7 ans 70cl</t>
        </is>
      </c>
      <c r="C159" s="16" t="inlineStr">
        <is>
          <t>BOISSON_ALCOOLISEE</t>
        </is>
      </c>
      <c r="D159" s="16" t="inlineStr">
        <is>
          <t>SPIRITUEUX_POMME</t>
        </is>
      </c>
      <c r="E159" s="16" t="inlineStr">
        <is>
          <t>PRESTIGE</t>
        </is>
      </c>
      <c r="F159" s="16" t="inlineStr">
        <is>
          <t>GAEC DE CLAIDS</t>
        </is>
      </c>
      <c r="G159" s="16" t="inlineStr">
        <is>
          <t>NORMAND DIRECT TERROIR</t>
        </is>
      </c>
      <c r="H159" s="16" t="inlineStr"/>
      <c r="I159" s="16" t="inlineStr">
        <is>
          <t>700 ml</t>
        </is>
      </c>
      <c r="J159" s="16" t="inlineStr">
        <is>
          <t>OUI</t>
        </is>
      </c>
      <c r="K159" s="17" t="inlineStr">
        <is>
          <t>20 %</t>
        </is>
      </c>
      <c r="L159" s="18" t="n">
        <v>28.5</v>
      </c>
      <c r="M159" s="9" t="n">
        <v>42.5</v>
      </c>
      <c r="N159" s="10" t="inlineStr">
        <is>
          <t>PROPOSÉ</t>
        </is>
      </c>
      <c r="O159" s="11">
        <f>IF(M159="","",M159-L159)</f>
        <v/>
      </c>
      <c r="P159" s="12">
        <f>IF(OR(M159="",M159=0),"",(M159-L159)/M159)</f>
        <v/>
      </c>
      <c r="Q159" s="13">
        <f>IF(OR(M159="",L159=0,L159=""),"",M159/L159)</f>
        <v/>
      </c>
      <c r="R159" s="11">
        <f>IF(M159="","",M159*1.2)</f>
        <v/>
      </c>
      <c r="S159" s="14" t="n"/>
      <c r="T159" s="15" t="n"/>
    </row>
    <row r="160">
      <c r="A160" s="6" t="inlineStr">
        <is>
          <t>PROD-0358</t>
        </is>
      </c>
      <c r="B160" s="6" t="inlineStr">
        <is>
          <t>Calvados 5 ans 70cl</t>
        </is>
      </c>
      <c r="C160" s="6" t="inlineStr">
        <is>
          <t>BOISSON_ALCOOLISEE</t>
        </is>
      </c>
      <c r="D160" s="6" t="inlineStr">
        <is>
          <t>SPIRITUEUX_POMME</t>
        </is>
      </c>
      <c r="E160" s="6" t="inlineStr">
        <is>
          <t>PRESTIGE</t>
        </is>
      </c>
      <c r="F160" s="6" t="inlineStr">
        <is>
          <t>GAEC DE CLAIDS</t>
        </is>
      </c>
      <c r="G160" s="6" t="inlineStr">
        <is>
          <t>NORMAND DIRECT TERROIR</t>
        </is>
      </c>
      <c r="H160" s="6" t="inlineStr"/>
      <c r="I160" s="6" t="inlineStr">
        <is>
          <t>700 ml</t>
        </is>
      </c>
      <c r="J160" s="6" t="inlineStr">
        <is>
          <t>OUI</t>
        </is>
      </c>
      <c r="K160" s="7" t="inlineStr">
        <is>
          <t>20 %</t>
        </is>
      </c>
      <c r="L160" s="8" t="n">
        <v>27</v>
      </c>
      <c r="M160" s="9" t="n">
        <v>40</v>
      </c>
      <c r="N160" s="10" t="inlineStr">
        <is>
          <t>PROPOSÉ</t>
        </is>
      </c>
      <c r="O160" s="11">
        <f>IF(M160="","",M160-L160)</f>
        <v/>
      </c>
      <c r="P160" s="12">
        <f>IF(OR(M160="",M160=0),"",(M160-L160)/M160)</f>
        <v/>
      </c>
      <c r="Q160" s="13">
        <f>IF(OR(M160="",L160=0,L160=""),"",M160/L160)</f>
        <v/>
      </c>
      <c r="R160" s="11">
        <f>IF(M160="","",M160*1.2)</f>
        <v/>
      </c>
      <c r="S160" s="14" t="n"/>
      <c r="T160" s="15" t="n"/>
    </row>
    <row r="161">
      <c r="A161" s="16" t="inlineStr">
        <is>
          <t>PROD-0365</t>
        </is>
      </c>
      <c r="B161" s="16" t="inlineStr">
        <is>
          <t>Liqueur 44 "le chiffre Claids" 70 cl 32°</t>
        </is>
      </c>
      <c r="C161" s="16" t="inlineStr">
        <is>
          <t>BOISSON_ALCOOLISEE</t>
        </is>
      </c>
      <c r="D161" s="16" t="inlineStr">
        <is>
          <t>LIQUEUR</t>
        </is>
      </c>
      <c r="E161" s="16" t="inlineStr">
        <is>
          <t>PRESTIGE</t>
        </is>
      </c>
      <c r="F161" s="16" t="inlineStr">
        <is>
          <t>GAEC DE CLAIDS</t>
        </is>
      </c>
      <c r="G161" s="16" t="inlineStr">
        <is>
          <t>NORMAND DIRECT TERROIR</t>
        </is>
      </c>
      <c r="H161" s="16" t="inlineStr"/>
      <c r="I161" s="16" t="inlineStr">
        <is>
          <t>700 ml</t>
        </is>
      </c>
      <c r="J161" s="16" t="inlineStr">
        <is>
          <t>OUI</t>
        </is>
      </c>
      <c r="K161" s="17" t="inlineStr">
        <is>
          <t>20 %</t>
        </is>
      </c>
      <c r="L161" s="18" t="n">
        <v>25.5</v>
      </c>
      <c r="M161" s="9" t="n">
        <v>39</v>
      </c>
      <c r="N161" s="10" t="inlineStr">
        <is>
          <t>PROPOSÉ</t>
        </is>
      </c>
      <c r="O161" s="11">
        <f>IF(M161="","",M161-L161)</f>
        <v/>
      </c>
      <c r="P161" s="12">
        <f>IF(OR(M161="",M161=0),"",(M161-L161)/M161)</f>
        <v/>
      </c>
      <c r="Q161" s="13">
        <f>IF(OR(M161="",L161=0,L161=""),"",M161/L161)</f>
        <v/>
      </c>
      <c r="R161" s="11">
        <f>IF(M161="","",M161*1.2)</f>
        <v/>
      </c>
      <c r="S161" s="14" t="n"/>
      <c r="T161" s="15" t="n"/>
    </row>
    <row r="162">
      <c r="A162" s="6" t="inlineStr">
        <is>
          <t>PROD-0339</t>
        </is>
      </c>
      <c r="B162" s="6" t="inlineStr">
        <is>
          <t>Calvados VS 2 ans 70 cl</t>
        </is>
      </c>
      <c r="C162" s="6" t="inlineStr">
        <is>
          <t>BOISSON_ALCOOLISEE</t>
        </is>
      </c>
      <c r="D162" s="6" t="inlineStr">
        <is>
          <t>SPIRITUEUX_POMME</t>
        </is>
      </c>
      <c r="E162" s="6" t="inlineStr">
        <is>
          <t>PRESTIGE</t>
        </is>
      </c>
      <c r="F162" s="6" t="inlineStr">
        <is>
          <t>MAISON HEROUT</t>
        </is>
      </c>
      <c r="G162" s="6" t="inlineStr">
        <is>
          <t>NORMAND DIRECT TERROIR</t>
        </is>
      </c>
      <c r="H162" s="6" t="inlineStr"/>
      <c r="I162" s="6" t="inlineStr">
        <is>
          <t>700 ml</t>
        </is>
      </c>
      <c r="J162" s="6" t="inlineStr">
        <is>
          <t>OUI</t>
        </is>
      </c>
      <c r="K162" s="7" t="inlineStr">
        <is>
          <t>20 %</t>
        </is>
      </c>
      <c r="L162" s="8" t="n">
        <v>25.41</v>
      </c>
      <c r="M162" s="9" t="n">
        <v>38</v>
      </c>
      <c r="N162" s="10" t="inlineStr">
        <is>
          <t>PROPOSÉ</t>
        </is>
      </c>
      <c r="O162" s="11">
        <f>IF(M162="","",M162-L162)</f>
        <v/>
      </c>
      <c r="P162" s="12">
        <f>IF(OR(M162="",M162=0),"",(M162-L162)/M162)</f>
        <v/>
      </c>
      <c r="Q162" s="13">
        <f>IF(OR(M162="",L162=0,L162=""),"",M162/L162)</f>
        <v/>
      </c>
      <c r="R162" s="11">
        <f>IF(M162="","",M162*1.2)</f>
        <v/>
      </c>
      <c r="S162" s="14" t="n"/>
      <c r="T162" s="15" t="n"/>
    </row>
    <row r="163">
      <c r="A163" s="16" t="inlineStr">
        <is>
          <t>PROD-0327</t>
        </is>
      </c>
      <c r="B163" s="16" t="inlineStr">
        <is>
          <t>Calvados Héritage 12 ans d'âge 35 cl</t>
        </is>
      </c>
      <c r="C163" s="16" t="inlineStr">
        <is>
          <t>BOISSON_ALCOOLISEE</t>
        </is>
      </c>
      <c r="D163" s="16" t="inlineStr">
        <is>
          <t>SPIRITUEUX_POMME</t>
        </is>
      </c>
      <c r="E163" s="16" t="inlineStr">
        <is>
          <t>PRESTIGE</t>
        </is>
      </c>
      <c r="F163" s="16" t="inlineStr">
        <is>
          <t>MAISON HEROUT</t>
        </is>
      </c>
      <c r="G163" s="16" t="inlineStr">
        <is>
          <t>NORMAND DIRECT TERROIR</t>
        </is>
      </c>
      <c r="H163" s="16" t="inlineStr"/>
      <c r="I163" s="16" t="inlineStr">
        <is>
          <t>350 ml</t>
        </is>
      </c>
      <c r="J163" s="16" t="inlineStr">
        <is>
          <t>OUI</t>
        </is>
      </c>
      <c r="K163" s="17" t="inlineStr">
        <is>
          <t>20 %</t>
        </is>
      </c>
      <c r="L163" s="18" t="n">
        <v>25.25</v>
      </c>
      <c r="M163" s="9" t="n">
        <v>37.5</v>
      </c>
      <c r="N163" s="10" t="inlineStr">
        <is>
          <t>PROPOSÉ</t>
        </is>
      </c>
      <c r="O163" s="11">
        <f>IF(M163="","",M163-L163)</f>
        <v/>
      </c>
      <c r="P163" s="12">
        <f>IF(OR(M163="",M163=0),"",(M163-L163)/M163)</f>
        <v/>
      </c>
      <c r="Q163" s="13">
        <f>IF(OR(M163="",L163=0,L163=""),"",M163/L163)</f>
        <v/>
      </c>
      <c r="R163" s="11">
        <f>IF(M163="","",M163*1.2)</f>
        <v/>
      </c>
      <c r="S163" s="14" t="n"/>
      <c r="T163" s="15" t="n"/>
    </row>
    <row r="164">
      <c r="A164" s="6" t="inlineStr">
        <is>
          <t>PROD-0340</t>
        </is>
      </c>
      <c r="B164" s="6" t="inlineStr">
        <is>
          <t>BLANCHE d'alambic bio 70 cl</t>
        </is>
      </c>
      <c r="C164" s="6" t="inlineStr">
        <is>
          <t>BOISSON_ALCOOLISEE</t>
        </is>
      </c>
      <c r="D164" s="6" t="inlineStr">
        <is>
          <t>SPIRITUEUX_POMME</t>
        </is>
      </c>
      <c r="E164" s="6" t="inlineStr">
        <is>
          <t>PRESTIGE</t>
        </is>
      </c>
      <c r="F164" s="6" t="inlineStr">
        <is>
          <t>MAISON HEROUT</t>
        </is>
      </c>
      <c r="G164" s="6" t="inlineStr">
        <is>
          <t>NORMAND DIRECT TERROIR</t>
        </is>
      </c>
      <c r="H164" s="6" t="inlineStr"/>
      <c r="I164" s="6" t="inlineStr">
        <is>
          <t>700 ml</t>
        </is>
      </c>
      <c r="J164" s="6" t="inlineStr">
        <is>
          <t>OUI</t>
        </is>
      </c>
      <c r="K164" s="7" t="inlineStr">
        <is>
          <t>20 %</t>
        </is>
      </c>
      <c r="L164" s="8" t="n">
        <v>23.65</v>
      </c>
      <c r="M164" s="9" t="n">
        <v>35</v>
      </c>
      <c r="N164" s="10" t="inlineStr">
        <is>
          <t>PROPOSÉ</t>
        </is>
      </c>
      <c r="O164" s="11">
        <f>IF(M164="","",M164-L164)</f>
        <v/>
      </c>
      <c r="P164" s="12">
        <f>IF(OR(M164="",M164=0),"",(M164-L164)/M164)</f>
        <v/>
      </c>
      <c r="Q164" s="13">
        <f>IF(OR(M164="",L164=0,L164=""),"",M164/L164)</f>
        <v/>
      </c>
      <c r="R164" s="11">
        <f>IF(M164="","",M164*1.2)</f>
        <v/>
      </c>
      <c r="S164" s="14" t="n"/>
      <c r="T164" s="15" t="n"/>
    </row>
    <row r="165">
      <c r="A165" s="16" t="inlineStr">
        <is>
          <t>PROD-0696</t>
        </is>
      </c>
      <c r="B165" s="16" t="inlineStr">
        <is>
          <t>CALVADOS - V.S.O.P.</t>
        </is>
      </c>
      <c r="C165" s="16" t="inlineStr">
        <is>
          <t>BOISSON_ALCOOLISEE</t>
        </is>
      </c>
      <c r="D165" s="16" t="inlineStr">
        <is>
          <t>SPIRITUEUX_POMME</t>
        </is>
      </c>
      <c r="E165" s="16" t="inlineStr">
        <is>
          <t>PRESTIGE</t>
        </is>
      </c>
      <c r="F165" s="16" t="inlineStr">
        <is>
          <t>SARL DOMAINE DE BILLY</t>
        </is>
      </c>
      <c r="G165" s="16" t="inlineStr">
        <is>
          <t>SARL DOMAINE DE BILLY</t>
        </is>
      </c>
      <c r="H165" s="16" t="inlineStr">
        <is>
          <t>70 cl</t>
        </is>
      </c>
      <c r="I165" s="16" t="inlineStr">
        <is>
          <t>700 ml</t>
        </is>
      </c>
      <c r="J165" s="16" t="inlineStr">
        <is>
          <t>OUI</t>
        </is>
      </c>
      <c r="K165" s="20" t="inlineStr">
        <is>
          <t>À CONFIRMER</t>
        </is>
      </c>
      <c r="L165" s="18" t="n">
        <v>22.9</v>
      </c>
      <c r="M165" s="9" t="n">
        <v>34</v>
      </c>
      <c r="N165" s="10" t="inlineStr">
        <is>
          <t>PROPOSÉ</t>
        </is>
      </c>
      <c r="O165" s="11">
        <f>IF(M165="","",M165-L165)</f>
        <v/>
      </c>
      <c r="P165" s="12">
        <f>IF(OR(M165="",M165=0),"",(M165-L165)/M165)</f>
        <v/>
      </c>
      <c r="Q165" s="13">
        <f>IF(OR(M165="",L165=0,L165=""),"",M165/L165)</f>
        <v/>
      </c>
      <c r="R165" s="11">
        <f>IF(M165="","","TVA à confirmer")</f>
        <v/>
      </c>
      <c r="S165" s="14" t="n"/>
      <c r="T165" s="15" t="n"/>
    </row>
    <row r="166">
      <c r="A166" s="6" t="inlineStr">
        <is>
          <t>PROD-0331</t>
        </is>
      </c>
      <c r="B166" s="6" t="inlineStr">
        <is>
          <t>Calvados AOC-XO hors d'âge 6 ans 35 cl</t>
        </is>
      </c>
      <c r="C166" s="6" t="inlineStr">
        <is>
          <t>BOISSON_ALCOOLISEE</t>
        </is>
      </c>
      <c r="D166" s="6" t="inlineStr">
        <is>
          <t>SPIRITUEUX_POMME</t>
        </is>
      </c>
      <c r="E166" s="6" t="inlineStr">
        <is>
          <t>PRESTIGE</t>
        </is>
      </c>
      <c r="F166" s="6" t="inlineStr">
        <is>
          <t>MAISON HEROUT</t>
        </is>
      </c>
      <c r="G166" s="6" t="inlineStr">
        <is>
          <t>NORMAND DIRECT TERROIR</t>
        </is>
      </c>
      <c r="H166" s="6" t="inlineStr"/>
      <c r="I166" s="6" t="inlineStr">
        <is>
          <t>350 ml</t>
        </is>
      </c>
      <c r="J166" s="6" t="inlineStr">
        <is>
          <t>OUI</t>
        </is>
      </c>
      <c r="K166" s="7" t="inlineStr">
        <is>
          <t>20 %</t>
        </is>
      </c>
      <c r="L166" s="8" t="n">
        <v>21.23</v>
      </c>
      <c r="M166" s="9" t="n">
        <v>31.5</v>
      </c>
      <c r="N166" s="10" t="inlineStr">
        <is>
          <t>PROPOSÉ</t>
        </is>
      </c>
      <c r="O166" s="11">
        <f>IF(M166="","",M166-L166)</f>
        <v/>
      </c>
      <c r="P166" s="12">
        <f>IF(OR(M166="",M166=0),"",(M166-L166)/M166)</f>
        <v/>
      </c>
      <c r="Q166" s="13">
        <f>IF(OR(M166="",L166=0,L166=""),"",M166/L166)</f>
        <v/>
      </c>
      <c r="R166" s="11">
        <f>IF(M166="","",M166*1.2)</f>
        <v/>
      </c>
      <c r="S166" s="14" t="n"/>
      <c r="T166" s="15" t="n"/>
    </row>
    <row r="167">
      <c r="A167" s="16" t="inlineStr">
        <is>
          <t>PROD-0296</t>
        </is>
      </c>
      <c r="B167" s="16" t="inlineStr">
        <is>
          <t>Calvados Arrangé Pomme Vanille 70 cl</t>
        </is>
      </c>
      <c r="C167" s="16" t="inlineStr">
        <is>
          <t>BOISSON_ALCOOLISEE</t>
        </is>
      </c>
      <c r="D167" s="16" t="inlineStr">
        <is>
          <t>SPIRITUEUX_POMME</t>
        </is>
      </c>
      <c r="E167" s="16" t="inlineStr">
        <is>
          <t>PRESTIGE</t>
        </is>
      </c>
      <c r="F167" s="16" t="inlineStr">
        <is>
          <t>POM’ POM’</t>
        </is>
      </c>
      <c r="G167" s="16" t="inlineStr">
        <is>
          <t>NORMAND DIRECT TERROIR</t>
        </is>
      </c>
      <c r="H167" s="16" t="inlineStr"/>
      <c r="I167" s="16" t="inlineStr">
        <is>
          <t>700 ml</t>
        </is>
      </c>
      <c r="J167" s="16" t="inlineStr">
        <is>
          <t>OUI</t>
        </is>
      </c>
      <c r="K167" s="17" t="inlineStr">
        <is>
          <t>20 %</t>
        </is>
      </c>
      <c r="L167" s="18" t="n">
        <v>20.9</v>
      </c>
      <c r="M167" s="9" t="n">
        <v>31</v>
      </c>
      <c r="N167" s="10" t="inlineStr">
        <is>
          <t>PROPOSÉ</t>
        </is>
      </c>
      <c r="O167" s="11">
        <f>IF(M167="","",M167-L167)</f>
        <v/>
      </c>
      <c r="P167" s="12">
        <f>IF(OR(M167="",M167=0),"",(M167-L167)/M167)</f>
        <v/>
      </c>
      <c r="Q167" s="13">
        <f>IF(OR(M167="",L167=0,L167=""),"",M167/L167)</f>
        <v/>
      </c>
      <c r="R167" s="11">
        <f>IF(M167="","",M167*1.2)</f>
        <v/>
      </c>
      <c r="S167" s="14" t="n"/>
      <c r="T167" s="15" t="n"/>
    </row>
    <row r="168">
      <c r="A168" s="6" t="inlineStr">
        <is>
          <t>PROD-0298</t>
        </is>
      </c>
      <c r="B168" s="6" t="inlineStr">
        <is>
          <t>Calvados Arrangé Banane Vanille 70 cl</t>
        </is>
      </c>
      <c r="C168" s="6" t="inlineStr">
        <is>
          <t>BOISSON_ALCOOLISEE</t>
        </is>
      </c>
      <c r="D168" s="6" t="inlineStr">
        <is>
          <t>SPIRITUEUX_POMME</t>
        </is>
      </c>
      <c r="E168" s="6" t="inlineStr">
        <is>
          <t>PRESTIGE</t>
        </is>
      </c>
      <c r="F168" s="6" t="inlineStr">
        <is>
          <t>POM’ POM’</t>
        </is>
      </c>
      <c r="G168" s="6" t="inlineStr">
        <is>
          <t>NORMAND DIRECT TERROIR</t>
        </is>
      </c>
      <c r="H168" s="6" t="inlineStr"/>
      <c r="I168" s="6" t="inlineStr">
        <is>
          <t>700 ml</t>
        </is>
      </c>
      <c r="J168" s="6" t="inlineStr">
        <is>
          <t>OUI</t>
        </is>
      </c>
      <c r="K168" s="7" t="inlineStr">
        <is>
          <t>20 %</t>
        </is>
      </c>
      <c r="L168" s="8" t="n">
        <v>20.9</v>
      </c>
      <c r="M168" s="9" t="n">
        <v>31</v>
      </c>
      <c r="N168" s="10" t="inlineStr">
        <is>
          <t>PROPOSÉ</t>
        </is>
      </c>
      <c r="O168" s="11">
        <f>IF(M168="","",M168-L168)</f>
        <v/>
      </c>
      <c r="P168" s="12">
        <f>IF(OR(M168="",M168=0),"",(M168-L168)/M168)</f>
        <v/>
      </c>
      <c r="Q168" s="13">
        <f>IF(OR(M168="",L168=0,L168=""),"",M168/L168)</f>
        <v/>
      </c>
      <c r="R168" s="11">
        <f>IF(M168="","",M168*1.2)</f>
        <v/>
      </c>
      <c r="S168" s="14" t="n"/>
      <c r="T168" s="15" t="n"/>
    </row>
    <row r="169">
      <c r="A169" s="16" t="inlineStr">
        <is>
          <t>PROD-0300</t>
        </is>
      </c>
      <c r="B169" s="16" t="inlineStr">
        <is>
          <t>Calvados Arrangé Fraise Poivre de Sichuan 70 cl</t>
        </is>
      </c>
      <c r="C169" s="16" t="inlineStr">
        <is>
          <t>BOISSON_ALCOOLISEE</t>
        </is>
      </c>
      <c r="D169" s="16" t="inlineStr">
        <is>
          <t>SPIRITUEUX_POMME</t>
        </is>
      </c>
      <c r="E169" s="16" t="inlineStr">
        <is>
          <t>PRESTIGE</t>
        </is>
      </c>
      <c r="F169" s="16" t="inlineStr">
        <is>
          <t>POM’ POM’</t>
        </is>
      </c>
      <c r="G169" s="16" t="inlineStr">
        <is>
          <t>NORMAND DIRECT TERROIR</t>
        </is>
      </c>
      <c r="H169" s="16" t="inlineStr"/>
      <c r="I169" s="16" t="inlineStr">
        <is>
          <t>700 ml</t>
        </is>
      </c>
      <c r="J169" s="16" t="inlineStr">
        <is>
          <t>OUI</t>
        </is>
      </c>
      <c r="K169" s="17" t="inlineStr">
        <is>
          <t>20 %</t>
        </is>
      </c>
      <c r="L169" s="18" t="n">
        <v>20.9</v>
      </c>
      <c r="M169" s="9" t="n">
        <v>31</v>
      </c>
      <c r="N169" s="10" t="inlineStr">
        <is>
          <t>PROPOSÉ</t>
        </is>
      </c>
      <c r="O169" s="11">
        <f>IF(M169="","",M169-L169)</f>
        <v/>
      </c>
      <c r="P169" s="12">
        <f>IF(OR(M169="",M169=0),"",(M169-L169)/M169)</f>
        <v/>
      </c>
      <c r="Q169" s="13">
        <f>IF(OR(M169="",L169=0,L169=""),"",M169/L169)</f>
        <v/>
      </c>
      <c r="R169" s="11">
        <f>IF(M169="","",M169*1.2)</f>
        <v/>
      </c>
      <c r="S169" s="14" t="n"/>
      <c r="T169" s="15" t="n"/>
    </row>
    <row r="170">
      <c r="A170" s="6" t="inlineStr">
        <is>
          <t>PROD-0301</t>
        </is>
      </c>
      <c r="B170" s="6" t="inlineStr">
        <is>
          <t>Calvados Arrangé Epices de Noël Clémentine 70 cl</t>
        </is>
      </c>
      <c r="C170" s="6" t="inlineStr">
        <is>
          <t>BOISSON_ALCOOLISEE</t>
        </is>
      </c>
      <c r="D170" s="6" t="inlineStr">
        <is>
          <t>SPIRITUEUX_POMME</t>
        </is>
      </c>
      <c r="E170" s="6" t="inlineStr">
        <is>
          <t>PRESTIGE</t>
        </is>
      </c>
      <c r="F170" s="6" t="inlineStr">
        <is>
          <t>POM’ POM’</t>
        </is>
      </c>
      <c r="G170" s="6" t="inlineStr">
        <is>
          <t>NORMAND DIRECT TERROIR</t>
        </is>
      </c>
      <c r="H170" s="6" t="inlineStr"/>
      <c r="I170" s="6" t="inlineStr">
        <is>
          <t>700 ml</t>
        </is>
      </c>
      <c r="J170" s="6" t="inlineStr">
        <is>
          <t>OUI</t>
        </is>
      </c>
      <c r="K170" s="7" t="inlineStr">
        <is>
          <t>20 %</t>
        </is>
      </c>
      <c r="L170" s="8" t="n">
        <v>20.9</v>
      </c>
      <c r="M170" s="9" t="n">
        <v>31</v>
      </c>
      <c r="N170" s="10" t="inlineStr">
        <is>
          <t>PROPOSÉ</t>
        </is>
      </c>
      <c r="O170" s="11">
        <f>IF(M170="","",M170-L170)</f>
        <v/>
      </c>
      <c r="P170" s="12">
        <f>IF(OR(M170="",M170=0),"",(M170-L170)/M170)</f>
        <v/>
      </c>
      <c r="Q170" s="13">
        <f>IF(OR(M170="",L170=0,L170=""),"",M170/L170)</f>
        <v/>
      </c>
      <c r="R170" s="11">
        <f>IF(M170="","",M170*1.2)</f>
        <v/>
      </c>
      <c r="S170" s="14" t="n"/>
      <c r="T170" s="15" t="n"/>
    </row>
    <row r="171">
      <c r="A171" s="16" t="inlineStr">
        <is>
          <t>PROD-0302</t>
        </is>
      </c>
      <c r="B171" s="16" t="inlineStr">
        <is>
          <t>Calvados Arrangé Pomme Menthe 70 cl</t>
        </is>
      </c>
      <c r="C171" s="16" t="inlineStr">
        <is>
          <t>BOISSON_ALCOOLISEE</t>
        </is>
      </c>
      <c r="D171" s="16" t="inlineStr">
        <is>
          <t>SPIRITUEUX_POMME</t>
        </is>
      </c>
      <c r="E171" s="16" t="inlineStr">
        <is>
          <t>PRESTIGE</t>
        </is>
      </c>
      <c r="F171" s="16" t="inlineStr">
        <is>
          <t>POM’ POM’</t>
        </is>
      </c>
      <c r="G171" s="16" t="inlineStr">
        <is>
          <t>NORMAND DIRECT TERROIR</t>
        </is>
      </c>
      <c r="H171" s="16" t="inlineStr"/>
      <c r="I171" s="16" t="inlineStr">
        <is>
          <t>700 ml</t>
        </is>
      </c>
      <c r="J171" s="16" t="inlineStr">
        <is>
          <t>OUI</t>
        </is>
      </c>
      <c r="K171" s="17" t="inlineStr">
        <is>
          <t>20 %</t>
        </is>
      </c>
      <c r="L171" s="18" t="n">
        <v>20.9</v>
      </c>
      <c r="M171" s="9" t="n">
        <v>31</v>
      </c>
      <c r="N171" s="10" t="inlineStr">
        <is>
          <t>PROPOSÉ</t>
        </is>
      </c>
      <c r="O171" s="11">
        <f>IF(M171="","",M171-L171)</f>
        <v/>
      </c>
      <c r="P171" s="12">
        <f>IF(OR(M171="",M171=0),"",(M171-L171)/M171)</f>
        <v/>
      </c>
      <c r="Q171" s="13">
        <f>IF(OR(M171="",L171=0,L171=""),"",M171/L171)</f>
        <v/>
      </c>
      <c r="R171" s="11">
        <f>IF(M171="","",M171*1.2)</f>
        <v/>
      </c>
      <c r="S171" s="14" t="n"/>
      <c r="T171" s="15" t="n"/>
    </row>
    <row r="172">
      <c r="A172" s="6" t="inlineStr">
        <is>
          <t>PROD-0304</t>
        </is>
      </c>
      <c r="B172" s="6" t="inlineStr">
        <is>
          <t>Calvados Arrangé Framboise Basilic</t>
        </is>
      </c>
      <c r="C172" s="6" t="inlineStr">
        <is>
          <t>BOISSON_ALCOOLISEE</t>
        </is>
      </c>
      <c r="D172" s="6" t="inlineStr">
        <is>
          <t>SPIRITUEUX_POMME</t>
        </is>
      </c>
      <c r="E172" s="6" t="inlineStr">
        <is>
          <t>PRESTIGE</t>
        </is>
      </c>
      <c r="F172" s="6" t="inlineStr">
        <is>
          <t>POM' POM'</t>
        </is>
      </c>
      <c r="G172" s="6" t="inlineStr">
        <is>
          <t>NORMAND DIRECT TERROIR</t>
        </is>
      </c>
      <c r="H172" s="6" t="inlineStr"/>
      <c r="I172" s="6" t="inlineStr"/>
      <c r="J172" s="6" t="inlineStr">
        <is>
          <t>OUI</t>
        </is>
      </c>
      <c r="K172" s="7" t="inlineStr">
        <is>
          <t>20 %</t>
        </is>
      </c>
      <c r="L172" s="8" t="n">
        <v>20.9</v>
      </c>
      <c r="M172" s="9" t="n">
        <v>31</v>
      </c>
      <c r="N172" s="10" t="inlineStr">
        <is>
          <t>PROPOSÉ</t>
        </is>
      </c>
      <c r="O172" s="11">
        <f>IF(M172="","",M172-L172)</f>
        <v/>
      </c>
      <c r="P172" s="12">
        <f>IF(OR(M172="",M172=0),"",(M172-L172)/M172)</f>
        <v/>
      </c>
      <c r="Q172" s="13">
        <f>IF(OR(M172="",L172=0,L172=""),"",M172/L172)</f>
        <v/>
      </c>
      <c r="R172" s="11">
        <f>IF(M172="","",M172*1.2)</f>
        <v/>
      </c>
      <c r="S172" s="14" t="n"/>
      <c r="T172" s="15" t="n"/>
    </row>
    <row r="173">
      <c r="A173" s="16" t="inlineStr">
        <is>
          <t>PROD-0305</t>
        </is>
      </c>
      <c r="B173" s="16" t="inlineStr">
        <is>
          <t>Calvados Arrangé Bergamote Noix de cajou</t>
        </is>
      </c>
      <c r="C173" s="16" t="inlineStr">
        <is>
          <t>BOISSON_ALCOOLISEE</t>
        </is>
      </c>
      <c r="D173" s="16" t="inlineStr">
        <is>
          <t>SPIRITUEUX_POMME</t>
        </is>
      </c>
      <c r="E173" s="16" t="inlineStr">
        <is>
          <t>PRESTIGE</t>
        </is>
      </c>
      <c r="F173" s="16" t="inlineStr">
        <is>
          <t>POM' POM'</t>
        </is>
      </c>
      <c r="G173" s="16" t="inlineStr">
        <is>
          <t>NORMAND DIRECT TERROIR</t>
        </is>
      </c>
      <c r="H173" s="16" t="inlineStr"/>
      <c r="I173" s="16" t="inlineStr"/>
      <c r="J173" s="16" t="inlineStr">
        <is>
          <t>OUI</t>
        </is>
      </c>
      <c r="K173" s="17" t="inlineStr">
        <is>
          <t>20 %</t>
        </is>
      </c>
      <c r="L173" s="18" t="n">
        <v>20.9</v>
      </c>
      <c r="M173" s="9" t="n">
        <v>31</v>
      </c>
      <c r="N173" s="10" t="inlineStr">
        <is>
          <t>PROPOSÉ</t>
        </is>
      </c>
      <c r="O173" s="11">
        <f>IF(M173="","",M173-L173)</f>
        <v/>
      </c>
      <c r="P173" s="12">
        <f>IF(OR(M173="",M173=0),"",(M173-L173)/M173)</f>
        <v/>
      </c>
      <c r="Q173" s="13">
        <f>IF(OR(M173="",L173=0,L173=""),"",M173/L173)</f>
        <v/>
      </c>
      <c r="R173" s="11">
        <f>IF(M173="","",M173*1.2)</f>
        <v/>
      </c>
      <c r="S173" s="14" t="n"/>
      <c r="T173" s="15" t="n"/>
    </row>
    <row r="174">
      <c r="A174" s="6" t="inlineStr">
        <is>
          <t>PROD-0697</t>
        </is>
      </c>
      <c r="B174" s="6" t="inlineStr">
        <is>
          <t>CALVADOS - FINE</t>
        </is>
      </c>
      <c r="C174" s="6" t="inlineStr">
        <is>
          <t>BOISSON_ALCOOLISEE</t>
        </is>
      </c>
      <c r="D174" s="6" t="inlineStr">
        <is>
          <t>SPIRITUEUX_POMME</t>
        </is>
      </c>
      <c r="E174" s="6" t="inlineStr">
        <is>
          <t>PRESTIGE</t>
        </is>
      </c>
      <c r="F174" s="6" t="inlineStr">
        <is>
          <t>SARL DOMAINE DE BILLY</t>
        </is>
      </c>
      <c r="G174" s="6" t="inlineStr">
        <is>
          <t>SARL DOMAINE DE BILLY</t>
        </is>
      </c>
      <c r="H174" s="6" t="inlineStr">
        <is>
          <t>70 cl</t>
        </is>
      </c>
      <c r="I174" s="6" t="inlineStr">
        <is>
          <t>700 ml</t>
        </is>
      </c>
      <c r="J174" s="6" t="inlineStr">
        <is>
          <t>OUI</t>
        </is>
      </c>
      <c r="K174" s="19" t="inlineStr">
        <is>
          <t>À CONFIRMER</t>
        </is>
      </c>
      <c r="L174" s="8" t="n">
        <v>20.4</v>
      </c>
      <c r="M174" s="9" t="n">
        <v>30.5</v>
      </c>
      <c r="N174" s="10" t="inlineStr">
        <is>
          <t>PROPOSÉ</t>
        </is>
      </c>
      <c r="O174" s="11">
        <f>IF(M174="","",M174-L174)</f>
        <v/>
      </c>
      <c r="P174" s="12">
        <f>IF(OR(M174="",M174=0),"",(M174-L174)/M174)</f>
        <v/>
      </c>
      <c r="Q174" s="13">
        <f>IF(OR(M174="",L174=0,L174=""),"",M174/L174)</f>
        <v/>
      </c>
      <c r="R174" s="11">
        <f>IF(M174="","","TVA à confirmer")</f>
        <v/>
      </c>
      <c r="S174" s="14" t="n"/>
      <c r="T174" s="15" t="n"/>
    </row>
    <row r="175">
      <c r="A175" s="16" t="inlineStr">
        <is>
          <t>PROD-0357</t>
        </is>
      </c>
      <c r="B175" s="16" t="inlineStr">
        <is>
          <t>Calvados 5 ans 35cl</t>
        </is>
      </c>
      <c r="C175" s="16" t="inlineStr">
        <is>
          <t>BOISSON_ALCOOLISEE</t>
        </is>
      </c>
      <c r="D175" s="16" t="inlineStr">
        <is>
          <t>SPIRITUEUX_POMME</t>
        </is>
      </c>
      <c r="E175" s="16" t="inlineStr">
        <is>
          <t>PRESTIGE</t>
        </is>
      </c>
      <c r="F175" s="16" t="inlineStr">
        <is>
          <t>GAEC DE CLAIDS</t>
        </is>
      </c>
      <c r="G175" s="16" t="inlineStr">
        <is>
          <t>NORMAND DIRECT TERROIR</t>
        </is>
      </c>
      <c r="H175" s="16" t="inlineStr"/>
      <c r="I175" s="16" t="inlineStr">
        <is>
          <t>350 ml</t>
        </is>
      </c>
      <c r="J175" s="16" t="inlineStr">
        <is>
          <t>OUI</t>
        </is>
      </c>
      <c r="K175" s="17" t="inlineStr">
        <is>
          <t>20 %</t>
        </is>
      </c>
      <c r="L175" s="18" t="n">
        <v>18.1</v>
      </c>
      <c r="M175" s="9" t="n">
        <v>29</v>
      </c>
      <c r="N175" s="10" t="inlineStr">
        <is>
          <t>PROPOSÉ</t>
        </is>
      </c>
      <c r="O175" s="11">
        <f>IF(M175="","",M175-L175)</f>
        <v/>
      </c>
      <c r="P175" s="12">
        <f>IF(OR(M175="",M175=0),"",(M175-L175)/M175)</f>
        <v/>
      </c>
      <c r="Q175" s="13">
        <f>IF(OR(M175="",L175=0,L175=""),"",M175/L175)</f>
        <v/>
      </c>
      <c r="R175" s="11">
        <f>IF(M175="","",M175*1.2)</f>
        <v/>
      </c>
      <c r="S175" s="14" t="n"/>
      <c r="T175" s="15" t="n"/>
    </row>
    <row r="176">
      <c r="A176" s="6" t="inlineStr">
        <is>
          <t>PROD-0335</t>
        </is>
      </c>
      <c r="B176" s="6" t="inlineStr">
        <is>
          <t>Calvados AOC-VSOP vielle réserve 4 ans 35 cl</t>
        </is>
      </c>
      <c r="C176" s="6" t="inlineStr">
        <is>
          <t>BOISSON_ALCOOLISEE</t>
        </is>
      </c>
      <c r="D176" s="6" t="inlineStr">
        <is>
          <t>SPIRITUEUX_POMME</t>
        </is>
      </c>
      <c r="E176" s="6" t="inlineStr">
        <is>
          <t>PRESTIGE</t>
        </is>
      </c>
      <c r="F176" s="6" t="inlineStr">
        <is>
          <t>MAISON HEROUT</t>
        </is>
      </c>
      <c r="G176" s="6" t="inlineStr">
        <is>
          <t>NORMAND DIRECT TERROIR</t>
        </is>
      </c>
      <c r="H176" s="6" t="inlineStr"/>
      <c r="I176" s="6" t="inlineStr">
        <is>
          <t>350 ml</t>
        </is>
      </c>
      <c r="J176" s="6" t="inlineStr">
        <is>
          <t>OUI</t>
        </is>
      </c>
      <c r="K176" s="7" t="inlineStr">
        <is>
          <t>20 %</t>
        </is>
      </c>
      <c r="L176" s="8" t="n">
        <v>17.82</v>
      </c>
      <c r="M176" s="9" t="n">
        <v>28.5</v>
      </c>
      <c r="N176" s="10" t="inlineStr">
        <is>
          <t>PROPOSÉ</t>
        </is>
      </c>
      <c r="O176" s="11">
        <f>IF(M176="","",M176-L176)</f>
        <v/>
      </c>
      <c r="P176" s="12">
        <f>IF(OR(M176="",M176=0),"",(M176-L176)/M176)</f>
        <v/>
      </c>
      <c r="Q176" s="13">
        <f>IF(OR(M176="",L176=0,L176=""),"",M176/L176)</f>
        <v/>
      </c>
      <c r="R176" s="11">
        <f>IF(M176="","",M176*1.2)</f>
        <v/>
      </c>
      <c r="S176" s="14" t="n"/>
      <c r="T176" s="15" t="n"/>
    </row>
    <row r="177">
      <c r="A177" s="16" t="inlineStr">
        <is>
          <t>PROD-0326</t>
        </is>
      </c>
      <c r="B177" s="16" t="inlineStr">
        <is>
          <t>Calvados Héritage 12 ans d'âge 20 cl</t>
        </is>
      </c>
      <c r="C177" s="16" t="inlineStr">
        <is>
          <t>BOISSON_ALCOOLISEE</t>
        </is>
      </c>
      <c r="D177" s="16" t="inlineStr">
        <is>
          <t>SPIRITUEUX_POMME</t>
        </is>
      </c>
      <c r="E177" s="16" t="inlineStr">
        <is>
          <t>PRESTIGE</t>
        </is>
      </c>
      <c r="F177" s="16" t="inlineStr">
        <is>
          <t>MAISON HEROUT</t>
        </is>
      </c>
      <c r="G177" s="16" t="inlineStr">
        <is>
          <t>NORMAND DIRECT TERROIR</t>
        </is>
      </c>
      <c r="H177" s="16" t="inlineStr"/>
      <c r="I177" s="16" t="inlineStr">
        <is>
          <t>200 ml</t>
        </is>
      </c>
      <c r="J177" s="16" t="inlineStr">
        <is>
          <t>OUI</t>
        </is>
      </c>
      <c r="K177" s="17" t="inlineStr">
        <is>
          <t>20 %</t>
        </is>
      </c>
      <c r="L177" s="18" t="n">
        <v>16.06</v>
      </c>
      <c r="M177" s="9" t="n">
        <v>26</v>
      </c>
      <c r="N177" s="10" t="inlineStr">
        <is>
          <t>PROPOSÉ</t>
        </is>
      </c>
      <c r="O177" s="11">
        <f>IF(M177="","",M177-L177)</f>
        <v/>
      </c>
      <c r="P177" s="12">
        <f>IF(OR(M177="",M177=0),"",(M177-L177)/M177)</f>
        <v/>
      </c>
      <c r="Q177" s="13">
        <f>IF(OR(M177="",L177=0,L177=""),"",M177/L177)</f>
        <v/>
      </c>
      <c r="R177" s="11">
        <f>IF(M177="","",M177*1.2)</f>
        <v/>
      </c>
      <c r="S177" s="14" t="n"/>
      <c r="T177" s="15" t="n"/>
    </row>
    <row r="178">
      <c r="A178" s="6" t="inlineStr">
        <is>
          <t>PROD-0342</t>
        </is>
      </c>
      <c r="B178" s="6" t="inlineStr">
        <is>
          <t>Pommeau bio 70 cl</t>
        </is>
      </c>
      <c r="C178" s="6" t="inlineStr">
        <is>
          <t>BOISSON_ALCOOLISEE</t>
        </is>
      </c>
      <c r="D178" s="6" t="inlineStr">
        <is>
          <t>POMMEAU</t>
        </is>
      </c>
      <c r="E178" s="6" t="inlineStr">
        <is>
          <t>PRESTIGE</t>
        </is>
      </c>
      <c r="F178" s="6" t="inlineStr">
        <is>
          <t>MAISON HEROUT</t>
        </is>
      </c>
      <c r="G178" s="6" t="inlineStr">
        <is>
          <t>NORMAND DIRECT TERROIR</t>
        </is>
      </c>
      <c r="H178" s="6" t="inlineStr"/>
      <c r="I178" s="6" t="inlineStr">
        <is>
          <t>700 ml</t>
        </is>
      </c>
      <c r="J178" s="6" t="inlineStr">
        <is>
          <t>OUI</t>
        </is>
      </c>
      <c r="K178" s="7" t="inlineStr">
        <is>
          <t>20 %</t>
        </is>
      </c>
      <c r="L178" s="8" t="n">
        <v>15.18</v>
      </c>
      <c r="M178" s="9" t="n">
        <v>26</v>
      </c>
      <c r="N178" s="10" t="inlineStr">
        <is>
          <t>PROPOSÉ</t>
        </is>
      </c>
      <c r="O178" s="11">
        <f>IF(M178="","",M178-L178)</f>
        <v/>
      </c>
      <c r="P178" s="12">
        <f>IF(OR(M178="",M178=0),"",(M178-L178)/M178)</f>
        <v/>
      </c>
      <c r="Q178" s="13">
        <f>IF(OR(M178="",L178=0,L178=""),"",M178/L178)</f>
        <v/>
      </c>
      <c r="R178" s="11">
        <f>IF(M178="","",M178*1.2)</f>
        <v/>
      </c>
      <c r="S178" s="14" t="n"/>
      <c r="T178" s="15" t="n"/>
    </row>
    <row r="179">
      <c r="A179" s="16" t="inlineStr">
        <is>
          <t>PROD-0330</t>
        </is>
      </c>
      <c r="B179" s="16" t="inlineStr">
        <is>
          <t>Calvados AOC-XO hors d'âge 6 ans 20 cl</t>
        </is>
      </c>
      <c r="C179" s="16" t="inlineStr">
        <is>
          <t>BOISSON_ALCOOLISEE</t>
        </is>
      </c>
      <c r="D179" s="16" t="inlineStr">
        <is>
          <t>SPIRITUEUX_POMME</t>
        </is>
      </c>
      <c r="E179" s="16" t="inlineStr">
        <is>
          <t>PRESTIGE</t>
        </is>
      </c>
      <c r="F179" s="16" t="inlineStr">
        <is>
          <t>MAISON HEROUT</t>
        </is>
      </c>
      <c r="G179" s="16" t="inlineStr">
        <is>
          <t>NORMAND DIRECT TERROIR</t>
        </is>
      </c>
      <c r="H179" s="16" t="inlineStr"/>
      <c r="I179" s="16" t="inlineStr">
        <is>
          <t>200 ml</t>
        </is>
      </c>
      <c r="J179" s="16" t="inlineStr">
        <is>
          <t>OUI</t>
        </is>
      </c>
      <c r="K179" s="17" t="inlineStr">
        <is>
          <t>20 %</t>
        </is>
      </c>
      <c r="L179" s="18" t="n">
        <v>13.53</v>
      </c>
      <c r="M179" s="9" t="n">
        <v>22</v>
      </c>
      <c r="N179" s="10" t="inlineStr">
        <is>
          <t>PROPOSÉ</t>
        </is>
      </c>
      <c r="O179" s="11">
        <f>IF(M179="","",M179-L179)</f>
        <v/>
      </c>
      <c r="P179" s="12">
        <f>IF(OR(M179="",M179=0),"",(M179-L179)/M179)</f>
        <v/>
      </c>
      <c r="Q179" s="13">
        <f>IF(OR(M179="",L179=0,L179=""),"",M179/L179)</f>
        <v/>
      </c>
      <c r="R179" s="11">
        <f>IF(M179="","",M179*1.2)</f>
        <v/>
      </c>
      <c r="S179" s="14" t="n"/>
      <c r="T179" s="15" t="n"/>
    </row>
    <row r="180">
      <c r="A180" s="6" t="inlineStr">
        <is>
          <t>PROD-0370</t>
        </is>
      </c>
      <c r="B180" s="6" t="inlineStr">
        <is>
          <t>Crème de Calvados 70 cl</t>
        </is>
      </c>
      <c r="C180" s="6" t="inlineStr">
        <is>
          <t>BOISSON_ALCOOLISEE</t>
        </is>
      </c>
      <c r="D180" s="6" t="inlineStr">
        <is>
          <t>LIQUEUR</t>
        </is>
      </c>
      <c r="E180" s="6" t="inlineStr">
        <is>
          <t>PRESTIGE</t>
        </is>
      </c>
      <c r="F180" s="6" t="inlineStr">
        <is>
          <t>FERME DU LOTEROT</t>
        </is>
      </c>
      <c r="G180" s="6" t="inlineStr">
        <is>
          <t>NORMAND DIRECT TERROIR</t>
        </is>
      </c>
      <c r="H180" s="6" t="inlineStr"/>
      <c r="I180" s="6" t="inlineStr">
        <is>
          <t>700 ml</t>
        </is>
      </c>
      <c r="J180" s="6" t="inlineStr">
        <is>
          <t>OUI</t>
        </is>
      </c>
      <c r="K180" s="7" t="inlineStr">
        <is>
          <t>20 %</t>
        </is>
      </c>
      <c r="L180" s="8" t="n">
        <v>13.5</v>
      </c>
      <c r="M180" s="9" t="n">
        <v>22.5</v>
      </c>
      <c r="N180" s="10" t="inlineStr">
        <is>
          <t>PROPOSÉ</t>
        </is>
      </c>
      <c r="O180" s="11">
        <f>IF(M180="","",M180-L180)</f>
        <v/>
      </c>
      <c r="P180" s="12">
        <f>IF(OR(M180="",M180=0),"",(M180-L180)/M180)</f>
        <v/>
      </c>
      <c r="Q180" s="13">
        <f>IF(OR(M180="",L180=0,L180=""),"",M180/L180)</f>
        <v/>
      </c>
      <c r="R180" s="11">
        <f>IF(M180="","",M180*1.2)</f>
        <v/>
      </c>
      <c r="S180" s="14" t="n"/>
      <c r="T180" s="15" t="n"/>
    </row>
    <row r="181">
      <c r="A181" s="16" t="inlineStr">
        <is>
          <t>PROD-0315</t>
        </is>
      </c>
      <c r="B181" s="16" t="inlineStr">
        <is>
          <t>Cidre bio Cotentin AOC extra brut 2018 puis 2019 150 cl</t>
        </is>
      </c>
      <c r="C181" s="16" t="inlineStr">
        <is>
          <t>BOISSON_ALCOOLISEE</t>
        </is>
      </c>
      <c r="D181" s="16" t="inlineStr">
        <is>
          <t>CIDRE</t>
        </is>
      </c>
      <c r="E181" s="16" t="inlineStr">
        <is>
          <t>PRESTIGE</t>
        </is>
      </c>
      <c r="F181" s="16" t="inlineStr">
        <is>
          <t>MAISON HEROUT</t>
        </is>
      </c>
      <c r="G181" s="16" t="inlineStr">
        <is>
          <t>NORMAND DIRECT TERROIR</t>
        </is>
      </c>
      <c r="H181" s="16" t="inlineStr"/>
      <c r="I181" s="16" t="inlineStr">
        <is>
          <t>1500 ml</t>
        </is>
      </c>
      <c r="J181" s="16" t="inlineStr">
        <is>
          <t>OUI</t>
        </is>
      </c>
      <c r="K181" s="17" t="inlineStr">
        <is>
          <t>20 %</t>
        </is>
      </c>
      <c r="L181" s="18" t="n">
        <v>11.66</v>
      </c>
      <c r="M181" s="9" t="n">
        <v>21</v>
      </c>
      <c r="N181" s="10" t="inlineStr">
        <is>
          <t>PROPOSÉ</t>
        </is>
      </c>
      <c r="O181" s="11">
        <f>IF(M181="","",M181-L181)</f>
        <v/>
      </c>
      <c r="P181" s="12">
        <f>IF(OR(M181="",M181=0),"",(M181-L181)/M181)</f>
        <v/>
      </c>
      <c r="Q181" s="13">
        <f>IF(OR(M181="",L181=0,L181=""),"",M181/L181)</f>
        <v/>
      </c>
      <c r="R181" s="11">
        <f>IF(M181="","",M181*1.2)</f>
        <v/>
      </c>
      <c r="S181" s="14" t="n"/>
      <c r="T181" s="15" t="n"/>
    </row>
    <row r="182">
      <c r="A182" s="6" t="inlineStr">
        <is>
          <t>PROD-0695</t>
        </is>
      </c>
      <c r="B182" s="6" t="inlineStr">
        <is>
          <t>CALVADOS - HORS D'ÂGE</t>
        </is>
      </c>
      <c r="C182" s="6" t="inlineStr">
        <is>
          <t>BOISSON_ALCOOLISEE</t>
        </is>
      </c>
      <c r="D182" s="6" t="inlineStr">
        <is>
          <t>SPIRITUEUX_POMME</t>
        </is>
      </c>
      <c r="E182" s="6" t="inlineStr">
        <is>
          <t>PRESTIGE</t>
        </is>
      </c>
      <c r="F182" s="6" t="inlineStr">
        <is>
          <t>SARL DOMAINE DE BILLY</t>
        </is>
      </c>
      <c r="G182" s="6" t="inlineStr">
        <is>
          <t>SARL DOMAINE DE BILLY</t>
        </is>
      </c>
      <c r="H182" s="6" t="inlineStr">
        <is>
          <t>20 cl</t>
        </is>
      </c>
      <c r="I182" s="6" t="inlineStr">
        <is>
          <t>200 ml</t>
        </is>
      </c>
      <c r="J182" s="6" t="inlineStr">
        <is>
          <t>OUI</t>
        </is>
      </c>
      <c r="K182" s="19" t="inlineStr">
        <is>
          <t>À CONFIRMER</t>
        </is>
      </c>
      <c r="L182" s="8" t="n">
        <v>11.53</v>
      </c>
      <c r="M182" s="9" t="n">
        <v>18.6</v>
      </c>
      <c r="N182" s="10" t="inlineStr">
        <is>
          <t>PROPOSÉ</t>
        </is>
      </c>
      <c r="O182" s="11">
        <f>IF(M182="","",M182-L182)</f>
        <v/>
      </c>
      <c r="P182" s="12">
        <f>IF(OR(M182="",M182=0),"",(M182-L182)/M182)</f>
        <v/>
      </c>
      <c r="Q182" s="13">
        <f>IF(OR(M182="",L182=0,L182=""),"",M182/L182)</f>
        <v/>
      </c>
      <c r="R182" s="11">
        <f>IF(M182="","","TVA à confirmer")</f>
        <v/>
      </c>
      <c r="S182" s="14" t="n"/>
      <c r="T182" s="15" t="n"/>
    </row>
    <row r="183">
      <c r="A183" s="16" t="inlineStr">
        <is>
          <t>PROD-0362</t>
        </is>
      </c>
      <c r="B183" s="16" t="inlineStr">
        <is>
          <t>Pommeau de Normandie 70 cl 17°</t>
        </is>
      </c>
      <c r="C183" s="16" t="inlineStr">
        <is>
          <t>BOISSON_ALCOOLISEE</t>
        </is>
      </c>
      <c r="D183" s="16" t="inlineStr">
        <is>
          <t>POMMEAU</t>
        </is>
      </c>
      <c r="E183" s="16" t="inlineStr">
        <is>
          <t>PRESTIGE</t>
        </is>
      </c>
      <c r="F183" s="16" t="inlineStr">
        <is>
          <t>GAEC DE CLAIDS</t>
        </is>
      </c>
      <c r="G183" s="16" t="inlineStr">
        <is>
          <t>NORMAND DIRECT TERROIR</t>
        </is>
      </c>
      <c r="H183" s="16" t="inlineStr"/>
      <c r="I183" s="16" t="inlineStr">
        <is>
          <t>700 ml</t>
        </is>
      </c>
      <c r="J183" s="16" t="inlineStr">
        <is>
          <t>OUI</t>
        </is>
      </c>
      <c r="K183" s="17" t="inlineStr">
        <is>
          <t>20 %</t>
        </is>
      </c>
      <c r="L183" s="18" t="n">
        <v>11.35</v>
      </c>
      <c r="M183" s="9" t="n">
        <v>19.3</v>
      </c>
      <c r="N183" s="10" t="inlineStr">
        <is>
          <t>PROPOSÉ</t>
        </is>
      </c>
      <c r="O183" s="11">
        <f>IF(M183="","",M183-L183)</f>
        <v/>
      </c>
      <c r="P183" s="12">
        <f>IF(OR(M183="",M183=0),"",(M183-L183)/M183)</f>
        <v/>
      </c>
      <c r="Q183" s="13">
        <f>IF(OR(M183="",L183=0,L183=""),"",M183/L183)</f>
        <v/>
      </c>
      <c r="R183" s="11">
        <f>IF(M183="","",M183*1.2)</f>
        <v/>
      </c>
      <c r="S183" s="14" t="n"/>
      <c r="T183" s="15" t="n"/>
    </row>
    <row r="184">
      <c r="A184" s="6" t="inlineStr">
        <is>
          <t>PROD-0334</t>
        </is>
      </c>
      <c r="B184" s="6" t="inlineStr">
        <is>
          <t>Calvados AOC-VSOP vielle réserve 4 ans 20 cl</t>
        </is>
      </c>
      <c r="C184" s="6" t="inlineStr">
        <is>
          <t>BOISSON_ALCOOLISEE</t>
        </is>
      </c>
      <c r="D184" s="6" t="inlineStr">
        <is>
          <t>SPIRITUEUX_POMME</t>
        </is>
      </c>
      <c r="E184" s="6" t="inlineStr">
        <is>
          <t>PRESTIGE</t>
        </is>
      </c>
      <c r="F184" s="6" t="inlineStr">
        <is>
          <t>MAISON HEROUT</t>
        </is>
      </c>
      <c r="G184" s="6" t="inlineStr">
        <is>
          <t>NORMAND DIRECT TERROIR</t>
        </is>
      </c>
      <c r="H184" s="6" t="inlineStr"/>
      <c r="I184" s="6" t="inlineStr">
        <is>
          <t>200 ml</t>
        </is>
      </c>
      <c r="J184" s="6" t="inlineStr">
        <is>
          <t>OUI</t>
        </is>
      </c>
      <c r="K184" s="7" t="inlineStr">
        <is>
          <t>20 %</t>
        </is>
      </c>
      <c r="L184" s="8" t="n">
        <v>11.33</v>
      </c>
      <c r="M184" s="9" t="n">
        <v>18.2</v>
      </c>
      <c r="N184" s="10" t="inlineStr">
        <is>
          <t>PROPOSÉ</t>
        </is>
      </c>
      <c r="O184" s="11">
        <f>IF(M184="","",M184-L184)</f>
        <v/>
      </c>
      <c r="P184" s="12">
        <f>IF(OR(M184="",M184=0),"",(M184-L184)/M184)</f>
        <v/>
      </c>
      <c r="Q184" s="13">
        <f>IF(OR(M184="",L184=0,L184=""),"",M184/L184)</f>
        <v/>
      </c>
      <c r="R184" s="11">
        <f>IF(M184="","",M184*1.2)</f>
        <v/>
      </c>
      <c r="S184" s="14" t="n"/>
      <c r="T184" s="15" t="n"/>
    </row>
    <row r="185">
      <c r="A185" s="16" t="inlineStr">
        <is>
          <t>PROD-0313</t>
        </is>
      </c>
      <c r="B185" s="16" t="inlineStr">
        <is>
          <t>Cidre bio Cotentin AOC brut 2018 et 2019 150 cl</t>
        </is>
      </c>
      <c r="C185" s="16" t="inlineStr">
        <is>
          <t>BOISSON_ALCOOLISEE</t>
        </is>
      </c>
      <c r="D185" s="16" t="inlineStr">
        <is>
          <t>CIDRE</t>
        </is>
      </c>
      <c r="E185" s="16" t="inlineStr">
        <is>
          <t>PRESTIGE</t>
        </is>
      </c>
      <c r="F185" s="16" t="inlineStr">
        <is>
          <t>MAISON HEROUT</t>
        </is>
      </c>
      <c r="G185" s="16" t="inlineStr">
        <is>
          <t>NORMAND DIRECT TERROIR</t>
        </is>
      </c>
      <c r="H185" s="16" t="inlineStr"/>
      <c r="I185" s="16" t="inlineStr">
        <is>
          <t>1500 ml</t>
        </is>
      </c>
      <c r="J185" s="16" t="inlineStr">
        <is>
          <t>OUI</t>
        </is>
      </c>
      <c r="K185" s="17" t="inlineStr">
        <is>
          <t>20 %</t>
        </is>
      </c>
      <c r="L185" s="18" t="n">
        <v>10.34</v>
      </c>
      <c r="M185" s="9" t="n">
        <v>18.5</v>
      </c>
      <c r="N185" s="10" t="inlineStr">
        <is>
          <t>PROPOSÉ</t>
        </is>
      </c>
      <c r="O185" s="11">
        <f>IF(M185="","",M185-L185)</f>
        <v/>
      </c>
      <c r="P185" s="12">
        <f>IF(OR(M185="",M185=0),"",(M185-L185)/M185)</f>
        <v/>
      </c>
      <c r="Q185" s="13">
        <f>IF(OR(M185="",L185=0,L185=""),"",M185/L185)</f>
        <v/>
      </c>
      <c r="R185" s="11">
        <f>IF(M185="","",M185*1.2)</f>
        <v/>
      </c>
      <c r="S185" s="14" t="n"/>
      <c r="T185" s="15" t="n"/>
    </row>
    <row r="186">
      <c r="A186" s="6" t="inlineStr">
        <is>
          <t>PROD-0320</t>
        </is>
      </c>
      <c r="B186" s="6" t="inlineStr">
        <is>
          <t>Cidre bio micro cuvée N°3 cidre fermenté barriques de vin</t>
        </is>
      </c>
      <c r="C186" s="6" t="inlineStr">
        <is>
          <t>BOISSON_ALCOOLISEE</t>
        </is>
      </c>
      <c r="D186" s="6" t="inlineStr">
        <is>
          <t>CIDRE</t>
        </is>
      </c>
      <c r="E186" s="6" t="inlineStr">
        <is>
          <t>PRESTIGE</t>
        </is>
      </c>
      <c r="F186" s="6" t="inlineStr">
        <is>
          <t>MAISON HEROUT</t>
        </is>
      </c>
      <c r="G186" s="6" t="inlineStr">
        <is>
          <t>NORMAND DIRECT TERROIR</t>
        </is>
      </c>
      <c r="H186" s="6" t="inlineStr"/>
      <c r="I186" s="6" t="inlineStr"/>
      <c r="J186" s="6" t="inlineStr">
        <is>
          <t>OUI</t>
        </is>
      </c>
      <c r="K186" s="7" t="inlineStr">
        <is>
          <t>20 %</t>
        </is>
      </c>
      <c r="L186" s="8" t="n">
        <v>10.23</v>
      </c>
      <c r="M186" s="9" t="n">
        <v>18.4</v>
      </c>
      <c r="N186" s="10" t="inlineStr">
        <is>
          <t>PROPOSÉ</t>
        </is>
      </c>
      <c r="O186" s="11">
        <f>IF(M186="","",M186-L186)</f>
        <v/>
      </c>
      <c r="P186" s="12">
        <f>IF(OR(M186="",M186=0),"",(M186-L186)/M186)</f>
        <v/>
      </c>
      <c r="Q186" s="13">
        <f>IF(OR(M186="",L186=0,L186=""),"",M186/L186)</f>
        <v/>
      </c>
      <c r="R186" s="11">
        <f>IF(M186="","",M186*1.2)</f>
        <v/>
      </c>
      <c r="S186" s="14" t="n"/>
      <c r="T186" s="15" t="n"/>
    </row>
    <row r="187">
      <c r="A187" s="16" t="inlineStr">
        <is>
          <t>PROD-0689</t>
        </is>
      </c>
      <c r="B187" s="16" t="inlineStr">
        <is>
          <t>Pommeau de Normandie</t>
        </is>
      </c>
      <c r="C187" s="16" t="inlineStr">
        <is>
          <t>BOISSON_ALCOOLISEE</t>
        </is>
      </c>
      <c r="D187" s="16" t="inlineStr">
        <is>
          <t>POMMEAU</t>
        </is>
      </c>
      <c r="E187" s="16" t="inlineStr">
        <is>
          <t>PRESTIGE</t>
        </is>
      </c>
      <c r="F187" s="16" t="inlineStr">
        <is>
          <t>SARL DOMAINE DE BILLY</t>
        </is>
      </c>
      <c r="G187" s="16" t="inlineStr">
        <is>
          <t>SARL DOMAINE DE BILLY</t>
        </is>
      </c>
      <c r="H187" s="16" t="inlineStr">
        <is>
          <t>70 cl</t>
        </is>
      </c>
      <c r="I187" s="16" t="inlineStr">
        <is>
          <t>700 ml</t>
        </is>
      </c>
      <c r="J187" s="16" t="inlineStr">
        <is>
          <t>OUI</t>
        </is>
      </c>
      <c r="K187" s="20" t="inlineStr">
        <is>
          <t>À CONFIRMER</t>
        </is>
      </c>
      <c r="L187" s="18" t="n">
        <v>9.970000000000001</v>
      </c>
      <c r="M187" s="9" t="n">
        <v>17</v>
      </c>
      <c r="N187" s="10" t="inlineStr">
        <is>
          <t>PROPOSÉ</t>
        </is>
      </c>
      <c r="O187" s="11">
        <f>IF(M187="","",M187-L187)</f>
        <v/>
      </c>
      <c r="P187" s="12">
        <f>IF(OR(M187="",M187=0),"",(M187-L187)/M187)</f>
        <v/>
      </c>
      <c r="Q187" s="13">
        <f>IF(OR(M187="",L187=0,L187=""),"",M187/L187)</f>
        <v/>
      </c>
      <c r="R187" s="11">
        <f>IF(M187="","","TVA à confirmer")</f>
        <v/>
      </c>
      <c r="S187" s="14" t="n"/>
      <c r="T187" s="15" t="n"/>
    </row>
    <row r="188">
      <c r="A188" s="6" t="inlineStr">
        <is>
          <t>PROD-0338</t>
        </is>
      </c>
      <c r="B188" s="6" t="inlineStr">
        <is>
          <t>Calvados VS 2 ans 20 cl</t>
        </is>
      </c>
      <c r="C188" s="6" t="inlineStr">
        <is>
          <t>BOISSON_ALCOOLISEE</t>
        </is>
      </c>
      <c r="D188" s="6" t="inlineStr">
        <is>
          <t>SPIRITUEUX_POMME</t>
        </is>
      </c>
      <c r="E188" s="6" t="inlineStr">
        <is>
          <t>PRESTIGE</t>
        </is>
      </c>
      <c r="F188" s="6" t="inlineStr">
        <is>
          <t>MAISON HEROUT</t>
        </is>
      </c>
      <c r="G188" s="6" t="inlineStr">
        <is>
          <t>NORMAND DIRECT TERROIR</t>
        </is>
      </c>
      <c r="H188" s="6" t="inlineStr"/>
      <c r="I188" s="6" t="inlineStr">
        <is>
          <t>200 ml</t>
        </is>
      </c>
      <c r="J188" s="6" t="inlineStr">
        <is>
          <t>OUI</t>
        </is>
      </c>
      <c r="K188" s="7" t="inlineStr">
        <is>
          <t>20 %</t>
        </is>
      </c>
      <c r="L188" s="8" t="n">
        <v>9.57</v>
      </c>
      <c r="M188" s="9" t="n">
        <v>15.4</v>
      </c>
      <c r="N188" s="10" t="inlineStr">
        <is>
          <t>PROPOSÉ</t>
        </is>
      </c>
      <c r="O188" s="11">
        <f>IF(M188="","",M188-L188)</f>
        <v/>
      </c>
      <c r="P188" s="12">
        <f>IF(OR(M188="",M188=0),"",(M188-L188)/M188)</f>
        <v/>
      </c>
      <c r="Q188" s="13">
        <f>IF(OR(M188="",L188=0,L188=""),"",M188/L188)</f>
        <v/>
      </c>
      <c r="R188" s="11">
        <f>IF(M188="","",M188*1.2)</f>
        <v/>
      </c>
      <c r="S188" s="14" t="n"/>
      <c r="T188" s="15" t="n"/>
    </row>
    <row r="189">
      <c r="A189" s="16" t="inlineStr">
        <is>
          <t>PROD-0361</t>
        </is>
      </c>
      <c r="B189" s="16" t="inlineStr">
        <is>
          <t>Pommeau de Normandie 35 cl 17°</t>
        </is>
      </c>
      <c r="C189" s="16" t="inlineStr">
        <is>
          <t>BOISSON_ALCOOLISEE</t>
        </is>
      </c>
      <c r="D189" s="16" t="inlineStr">
        <is>
          <t>POMMEAU</t>
        </is>
      </c>
      <c r="E189" s="16" t="inlineStr">
        <is>
          <t>PRESTIGE</t>
        </is>
      </c>
      <c r="F189" s="16" t="inlineStr">
        <is>
          <t>GAEC DE CLAIDS</t>
        </is>
      </c>
      <c r="G189" s="16" t="inlineStr">
        <is>
          <t>NORMAND DIRECT TERROIR</t>
        </is>
      </c>
      <c r="H189" s="16" t="inlineStr"/>
      <c r="I189" s="16" t="inlineStr">
        <is>
          <t>350 ml</t>
        </is>
      </c>
      <c r="J189" s="16" t="inlineStr">
        <is>
          <t>OUI</t>
        </is>
      </c>
      <c r="K189" s="17" t="inlineStr">
        <is>
          <t>20 %</t>
        </is>
      </c>
      <c r="L189" s="18" t="n">
        <v>7.25</v>
      </c>
      <c r="M189" s="9" t="n">
        <v>13.4</v>
      </c>
      <c r="N189" s="10" t="inlineStr">
        <is>
          <t>PROPOSÉ</t>
        </is>
      </c>
      <c r="O189" s="11">
        <f>IF(M189="","",M189-L189)</f>
        <v/>
      </c>
      <c r="P189" s="12">
        <f>IF(OR(M189="",M189=0),"",(M189-L189)/M189)</f>
        <v/>
      </c>
      <c r="Q189" s="13">
        <f>IF(OR(M189="",L189=0,L189=""),"",M189/L189)</f>
        <v/>
      </c>
      <c r="R189" s="11">
        <f>IF(M189="","",M189*1.2)</f>
        <v/>
      </c>
      <c r="S189" s="14" t="n"/>
      <c r="T189" s="15" t="n"/>
    </row>
    <row r="190">
      <c r="A190" s="6" t="inlineStr">
        <is>
          <t>PROD-0690</t>
        </is>
      </c>
      <c r="B190" s="6" t="inlineStr">
        <is>
          <t>Pommeau de Normandie</t>
        </is>
      </c>
      <c r="C190" s="6" t="inlineStr">
        <is>
          <t>BOISSON_ALCOOLISEE</t>
        </is>
      </c>
      <c r="D190" s="6" t="inlineStr">
        <is>
          <t>POMMEAU</t>
        </is>
      </c>
      <c r="E190" s="6" t="inlineStr">
        <is>
          <t>PRESTIGE</t>
        </is>
      </c>
      <c r="F190" s="6" t="inlineStr">
        <is>
          <t>SARL DOMAINE DE BILLY</t>
        </is>
      </c>
      <c r="G190" s="6" t="inlineStr">
        <is>
          <t>SARL DOMAINE DE BILLY</t>
        </is>
      </c>
      <c r="H190" s="6" t="inlineStr">
        <is>
          <t>20 cl</t>
        </is>
      </c>
      <c r="I190" s="6" t="inlineStr">
        <is>
          <t>200 ml</t>
        </is>
      </c>
      <c r="J190" s="6" t="inlineStr">
        <is>
          <t>OUI</t>
        </is>
      </c>
      <c r="K190" s="19" t="inlineStr">
        <is>
          <t>À CONFIRMER</t>
        </is>
      </c>
      <c r="L190" s="8" t="n">
        <v>6.12</v>
      </c>
      <c r="M190" s="9" t="n">
        <v>11.3</v>
      </c>
      <c r="N190" s="10" t="inlineStr">
        <is>
          <t>PROPOSÉ</t>
        </is>
      </c>
      <c r="O190" s="11">
        <f>IF(M190="","",M190-L190)</f>
        <v/>
      </c>
      <c r="P190" s="12">
        <f>IF(OR(M190="",M190=0),"",(M190-L190)/M190)</f>
        <v/>
      </c>
      <c r="Q190" s="13">
        <f>IF(OR(M190="",L190=0,L190=""),"",M190/L190)</f>
        <v/>
      </c>
      <c r="R190" s="11">
        <f>IF(M190="","","TVA à confirmer")</f>
        <v/>
      </c>
      <c r="S190" s="14" t="n"/>
      <c r="T190" s="15" t="n"/>
    </row>
    <row r="191">
      <c r="A191" s="16" t="inlineStr">
        <is>
          <t>PROD-0345</t>
        </is>
      </c>
      <c r="B191" s="16" t="inlineStr">
        <is>
          <t>Jus de pomme bio 100 cl</t>
        </is>
      </c>
      <c r="C191" s="16" t="inlineStr">
        <is>
          <t>BOISSON_SANS_ALCOOL</t>
        </is>
      </c>
      <c r="D191" s="16" t="inlineStr">
        <is>
          <t>JUS_DE_FRUIT</t>
        </is>
      </c>
      <c r="E191" s="16" t="inlineStr">
        <is>
          <t>ESSENTIEL</t>
        </is>
      </c>
      <c r="F191" s="16" t="inlineStr">
        <is>
          <t>MAISON HEROUT</t>
        </is>
      </c>
      <c r="G191" s="16" t="inlineStr">
        <is>
          <t>NORMAND DIRECT TERROIR</t>
        </is>
      </c>
      <c r="H191" s="16" t="inlineStr"/>
      <c r="I191" s="16" t="inlineStr">
        <is>
          <t>1000 ml</t>
        </is>
      </c>
      <c r="J191" s="16" t="inlineStr">
        <is>
          <t>NON</t>
        </is>
      </c>
      <c r="K191" s="17" t="inlineStr">
        <is>
          <t>5.5 %</t>
        </is>
      </c>
      <c r="L191" s="18" t="n">
        <v>3.85</v>
      </c>
      <c r="M191" s="9" t="n">
        <v>8.9</v>
      </c>
      <c r="N191" s="10" t="inlineStr">
        <is>
          <t>PROPOSÉ</t>
        </is>
      </c>
      <c r="O191" s="11">
        <f>IF(M191="","",M191-L191)</f>
        <v/>
      </c>
      <c r="P191" s="12">
        <f>IF(OR(M191="",M191=0),"",(M191-L191)/M191)</f>
        <v/>
      </c>
      <c r="Q191" s="13">
        <f>IF(OR(M191="",L191=0,L191=""),"",M191/L191)</f>
        <v/>
      </c>
      <c r="R191" s="11">
        <f>IF(M191="","",M191*1.055)</f>
        <v/>
      </c>
      <c r="S191" s="14" t="n"/>
      <c r="T191" s="15" t="n"/>
    </row>
    <row r="192">
      <c r="A192" s="6" t="inlineStr">
        <is>
          <t>PROD-0349</t>
        </is>
      </c>
      <c r="B192" s="6" t="inlineStr">
        <is>
          <t>Jus de pomme Pétillant bio "Prout" 75cl NOUVEAU</t>
        </is>
      </c>
      <c r="C192" s="6" t="inlineStr">
        <is>
          <t>BOISSON_SANS_ALCOOL</t>
        </is>
      </c>
      <c r="D192" s="6" t="inlineStr">
        <is>
          <t>JUS_DE_FRUIT</t>
        </is>
      </c>
      <c r="E192" s="6" t="inlineStr">
        <is>
          <t>ESSENTIEL</t>
        </is>
      </c>
      <c r="F192" s="6" t="inlineStr">
        <is>
          <t>MAISON HEROUT</t>
        </is>
      </c>
      <c r="G192" s="6" t="inlineStr">
        <is>
          <t>NORMAND DIRECT TERROIR</t>
        </is>
      </c>
      <c r="H192" s="6" t="inlineStr"/>
      <c r="I192" s="6" t="inlineStr">
        <is>
          <t>750 ml</t>
        </is>
      </c>
      <c r="J192" s="6" t="inlineStr">
        <is>
          <t>NON</t>
        </is>
      </c>
      <c r="K192" s="7" t="inlineStr">
        <is>
          <t>5.5 %</t>
        </is>
      </c>
      <c r="L192" s="8" t="n">
        <v>3.52</v>
      </c>
      <c r="M192" s="9" t="n">
        <v>8.1</v>
      </c>
      <c r="N192" s="10" t="inlineStr">
        <is>
          <t>PROPOSÉ</t>
        </is>
      </c>
      <c r="O192" s="11">
        <f>IF(M192="","",M192-L192)</f>
        <v/>
      </c>
      <c r="P192" s="12">
        <f>IF(OR(M192="",M192=0),"",(M192-L192)/M192)</f>
        <v/>
      </c>
      <c r="Q192" s="13">
        <f>IF(OR(M192="",L192=0,L192=""),"",M192/L192)</f>
        <v/>
      </c>
      <c r="R192" s="11">
        <f>IF(M192="","",M192*1.055)</f>
        <v/>
      </c>
      <c r="S192" s="14" t="n"/>
      <c r="T192" s="15" t="n"/>
    </row>
    <row r="193">
      <c r="A193" s="16" t="inlineStr">
        <is>
          <t>PROD-0367</t>
        </is>
      </c>
      <c r="B193" s="16" t="inlineStr">
        <is>
          <t>Jus de pomme 100 cl</t>
        </is>
      </c>
      <c r="C193" s="16" t="inlineStr">
        <is>
          <t>BOISSON_SANS_ALCOOL</t>
        </is>
      </c>
      <c r="D193" s="16" t="inlineStr">
        <is>
          <t>JUS_DE_FRUIT</t>
        </is>
      </c>
      <c r="E193" s="16" t="inlineStr">
        <is>
          <t>ESSENTIEL</t>
        </is>
      </c>
      <c r="F193" s="16" t="inlineStr">
        <is>
          <t>GAEC DE CLAIDS</t>
        </is>
      </c>
      <c r="G193" s="16" t="inlineStr">
        <is>
          <t>NORMAND DIRECT TERROIR</t>
        </is>
      </c>
      <c r="H193" s="16" t="inlineStr"/>
      <c r="I193" s="16" t="inlineStr">
        <is>
          <t>1000 ml</t>
        </is>
      </c>
      <c r="J193" s="16" t="inlineStr">
        <is>
          <t>NON</t>
        </is>
      </c>
      <c r="K193" s="17" t="inlineStr">
        <is>
          <t>5.5 %</t>
        </is>
      </c>
      <c r="L193" s="18" t="n">
        <v>3.3</v>
      </c>
      <c r="M193" s="9" t="n">
        <v>7.6</v>
      </c>
      <c r="N193" s="10" t="inlineStr">
        <is>
          <t>PROPOSÉ</t>
        </is>
      </c>
      <c r="O193" s="11">
        <f>IF(M193="","",M193-L193)</f>
        <v/>
      </c>
      <c r="P193" s="12">
        <f>IF(OR(M193="",M193=0),"",(M193-L193)/M193)</f>
        <v/>
      </c>
      <c r="Q193" s="13">
        <f>IF(OR(M193="",L193=0,L193=""),"",M193/L193)</f>
        <v/>
      </c>
      <c r="R193" s="11">
        <f>IF(M193="","",M193*1.055)</f>
        <v/>
      </c>
      <c r="S193" s="14" t="n"/>
      <c r="T193" s="15" t="n"/>
    </row>
    <row r="194">
      <c r="A194" s="6" t="inlineStr">
        <is>
          <t>PROD-0683</t>
        </is>
      </c>
      <c r="B194" s="6" t="inlineStr">
        <is>
          <t>Pomme Basilic</t>
        </is>
      </c>
      <c r="C194" s="6" t="inlineStr">
        <is>
          <t>BOISSON_SANS_ALCOOL</t>
        </is>
      </c>
      <c r="D194" s="6" t="inlineStr">
        <is>
          <t>JUS_DE_FRUIT</t>
        </is>
      </c>
      <c r="E194" s="6" t="inlineStr">
        <is>
          <t>ESSENTIEL</t>
        </is>
      </c>
      <c r="F194" s="6" t="inlineStr">
        <is>
          <t>SARL DOMAINE DE BILLY</t>
        </is>
      </c>
      <c r="G194" s="6" t="inlineStr">
        <is>
          <t>SARL DOMAINE DE BILLY</t>
        </is>
      </c>
      <c r="H194" s="6" t="inlineStr">
        <is>
          <t>75 cl</t>
        </is>
      </c>
      <c r="I194" s="6" t="inlineStr">
        <is>
          <t>750 ml</t>
        </is>
      </c>
      <c r="J194" s="6" t="inlineStr">
        <is>
          <t>NON</t>
        </is>
      </c>
      <c r="K194" s="19" t="inlineStr">
        <is>
          <t>À CONFIRMER</t>
        </is>
      </c>
      <c r="L194" s="8" t="n">
        <v>3.3</v>
      </c>
      <c r="M194" s="9" t="n">
        <v>7.6</v>
      </c>
      <c r="N194" s="10" t="inlineStr">
        <is>
          <t>PROPOSÉ</t>
        </is>
      </c>
      <c r="O194" s="11">
        <f>IF(M194="","",M194-L194)</f>
        <v/>
      </c>
      <c r="P194" s="12">
        <f>IF(OR(M194="",M194=0),"",(M194-L194)/M194)</f>
        <v/>
      </c>
      <c r="Q194" s="13">
        <f>IF(OR(M194="",L194=0,L194=""),"",M194/L194)</f>
        <v/>
      </c>
      <c r="R194" s="11">
        <f>IF(M194="","","TVA à confirmer")</f>
        <v/>
      </c>
      <c r="S194" s="14" t="n"/>
      <c r="T194" s="15" t="n"/>
    </row>
    <row r="195">
      <c r="A195" s="16" t="inlineStr">
        <is>
          <t>PROD-0684</t>
        </is>
      </c>
      <c r="B195" s="16" t="inlineStr">
        <is>
          <t>Pomme Menthe</t>
        </is>
      </c>
      <c r="C195" s="16" t="inlineStr">
        <is>
          <t>BOISSON_SANS_ALCOOL</t>
        </is>
      </c>
      <c r="D195" s="16" t="inlineStr">
        <is>
          <t>JUS_DE_FRUIT</t>
        </is>
      </c>
      <c r="E195" s="16" t="inlineStr">
        <is>
          <t>ESSENTIEL</t>
        </is>
      </c>
      <c r="F195" s="16" t="inlineStr">
        <is>
          <t>SARL DOMAINE DE BILLY</t>
        </is>
      </c>
      <c r="G195" s="16" t="inlineStr">
        <is>
          <t>SARL DOMAINE DE BILLY</t>
        </is>
      </c>
      <c r="H195" s="16" t="inlineStr">
        <is>
          <t>75 cl</t>
        </is>
      </c>
      <c r="I195" s="16" t="inlineStr">
        <is>
          <t>750 ml</t>
        </is>
      </c>
      <c r="J195" s="16" t="inlineStr">
        <is>
          <t>NON</t>
        </is>
      </c>
      <c r="K195" s="20" t="inlineStr">
        <is>
          <t>À CONFIRMER</t>
        </is>
      </c>
      <c r="L195" s="18" t="n">
        <v>3.3</v>
      </c>
      <c r="M195" s="9" t="n">
        <v>7.6</v>
      </c>
      <c r="N195" s="10" t="inlineStr">
        <is>
          <t>PROPOSÉ</t>
        </is>
      </c>
      <c r="O195" s="11">
        <f>IF(M195="","",M195-L195)</f>
        <v/>
      </c>
      <c r="P195" s="12">
        <f>IF(OR(M195="",M195=0),"",(M195-L195)/M195)</f>
        <v/>
      </c>
      <c r="Q195" s="13">
        <f>IF(OR(M195="",L195=0,L195=""),"",M195/L195)</f>
        <v/>
      </c>
      <c r="R195" s="11">
        <f>IF(M195="","","TVA à confirmer")</f>
        <v/>
      </c>
      <c r="S195" s="14" t="n"/>
      <c r="T195" s="15" t="n"/>
    </row>
    <row r="196">
      <c r="A196" s="6" t="inlineStr">
        <is>
          <t>PROD-0685</t>
        </is>
      </c>
      <c r="B196" s="6" t="inlineStr">
        <is>
          <t>Pomme Framboise</t>
        </is>
      </c>
      <c r="C196" s="6" t="inlineStr">
        <is>
          <t>BOISSON_SANS_ALCOOL</t>
        </is>
      </c>
      <c r="D196" s="6" t="inlineStr">
        <is>
          <t>JUS_DE_FRUIT</t>
        </is>
      </c>
      <c r="E196" s="6" t="inlineStr">
        <is>
          <t>ESSENTIEL</t>
        </is>
      </c>
      <c r="F196" s="6" t="inlineStr">
        <is>
          <t>SARL DOMAINE DE BILLY</t>
        </is>
      </c>
      <c r="G196" s="6" t="inlineStr">
        <is>
          <t>SARL DOMAINE DE BILLY</t>
        </is>
      </c>
      <c r="H196" s="6" t="inlineStr">
        <is>
          <t>75 cl</t>
        </is>
      </c>
      <c r="I196" s="6" t="inlineStr">
        <is>
          <t>750 ml</t>
        </is>
      </c>
      <c r="J196" s="6" t="inlineStr">
        <is>
          <t>NON</t>
        </is>
      </c>
      <c r="K196" s="19" t="inlineStr">
        <is>
          <t>À CONFIRMER</t>
        </is>
      </c>
      <c r="L196" s="8" t="n">
        <v>3.3</v>
      </c>
      <c r="M196" s="9" t="n">
        <v>7.6</v>
      </c>
      <c r="N196" s="10" t="inlineStr">
        <is>
          <t>PROPOSÉ</t>
        </is>
      </c>
      <c r="O196" s="11">
        <f>IF(M196="","",M196-L196)</f>
        <v/>
      </c>
      <c r="P196" s="12">
        <f>IF(OR(M196="",M196=0),"",(M196-L196)/M196)</f>
        <v/>
      </c>
      <c r="Q196" s="13">
        <f>IF(OR(M196="",L196=0,L196=""),"",M196/L196)</f>
        <v/>
      </c>
      <c r="R196" s="11">
        <f>IF(M196="","","TVA à confirmer")</f>
        <v/>
      </c>
      <c r="S196" s="14" t="n"/>
      <c r="T196" s="15" t="n"/>
    </row>
    <row r="197">
      <c r="A197" s="16" t="inlineStr">
        <is>
          <t>PROD-0686</t>
        </is>
      </c>
      <c r="B197" s="16" t="inlineStr">
        <is>
          <t>Pomme Myrtille</t>
        </is>
      </c>
      <c r="C197" s="16" t="inlineStr">
        <is>
          <t>BOISSON_SANS_ALCOOL</t>
        </is>
      </c>
      <c r="D197" s="16" t="inlineStr">
        <is>
          <t>JUS_DE_FRUIT</t>
        </is>
      </c>
      <c r="E197" s="16" t="inlineStr">
        <is>
          <t>ESSENTIEL</t>
        </is>
      </c>
      <c r="F197" s="16" t="inlineStr">
        <is>
          <t>SARL DOMAINE DE BILLY</t>
        </is>
      </c>
      <c r="G197" s="16" t="inlineStr">
        <is>
          <t>SARL DOMAINE DE BILLY</t>
        </is>
      </c>
      <c r="H197" s="16" t="inlineStr">
        <is>
          <t>75 cl</t>
        </is>
      </c>
      <c r="I197" s="16" t="inlineStr">
        <is>
          <t>750 ml</t>
        </is>
      </c>
      <c r="J197" s="16" t="inlineStr">
        <is>
          <t>NON</t>
        </is>
      </c>
      <c r="K197" s="20" t="inlineStr">
        <is>
          <t>À CONFIRMER</t>
        </is>
      </c>
      <c r="L197" s="18" t="n">
        <v>3.3</v>
      </c>
      <c r="M197" s="9" t="n">
        <v>7.6</v>
      </c>
      <c r="N197" s="10" t="inlineStr">
        <is>
          <t>PROPOSÉ</t>
        </is>
      </c>
      <c r="O197" s="11">
        <f>IF(M197="","",M197-L197)</f>
        <v/>
      </c>
      <c r="P197" s="12">
        <f>IF(OR(M197="",M197=0),"",(M197-L197)/M197)</f>
        <v/>
      </c>
      <c r="Q197" s="13">
        <f>IF(OR(M197="",L197=0,L197=""),"",M197/L197)</f>
        <v/>
      </c>
      <c r="R197" s="11">
        <f>IF(M197="","","TVA à confirmer")</f>
        <v/>
      </c>
      <c r="S197" s="14" t="n"/>
      <c r="T197" s="15" t="n"/>
    </row>
    <row r="198">
      <c r="A198" s="6" t="inlineStr">
        <is>
          <t>PROD-0674</t>
        </is>
      </c>
      <c r="B198" s="6" t="inlineStr">
        <is>
          <t>Jus pétillant</t>
        </is>
      </c>
      <c r="C198" s="6" t="inlineStr">
        <is>
          <t>BOISSON_SANS_ALCOOL</t>
        </is>
      </c>
      <c r="D198" s="6" t="inlineStr">
        <is>
          <t>JUS_DE_FRUIT</t>
        </is>
      </c>
      <c r="E198" s="6" t="inlineStr">
        <is>
          <t>ESSENTIEL</t>
        </is>
      </c>
      <c r="F198" s="6" t="inlineStr">
        <is>
          <t>SARL DOMAINE DE BILLY</t>
        </is>
      </c>
      <c r="G198" s="6" t="inlineStr">
        <is>
          <t>SARL DOMAINE DE BILLY</t>
        </is>
      </c>
      <c r="H198" s="6" t="inlineStr">
        <is>
          <t>0,75 L</t>
        </is>
      </c>
      <c r="I198" s="6" t="inlineStr">
        <is>
          <t>750 ml</t>
        </is>
      </c>
      <c r="J198" s="6" t="inlineStr">
        <is>
          <t>NON</t>
        </is>
      </c>
      <c r="K198" s="19" t="inlineStr">
        <is>
          <t>À CONFIRMER</t>
        </is>
      </c>
      <c r="L198" s="8" t="n">
        <v>3.05</v>
      </c>
      <c r="M198" s="9" t="n">
        <v>7</v>
      </c>
      <c r="N198" s="10" t="inlineStr">
        <is>
          <t>PROPOSÉ</t>
        </is>
      </c>
      <c r="O198" s="11">
        <f>IF(M198="","",M198-L198)</f>
        <v/>
      </c>
      <c r="P198" s="12">
        <f>IF(OR(M198="",M198=0),"",(M198-L198)/M198)</f>
        <v/>
      </c>
      <c r="Q198" s="13">
        <f>IF(OR(M198="",L198=0,L198=""),"",M198/L198)</f>
        <v/>
      </c>
      <c r="R198" s="11">
        <f>IF(M198="","","TVA à confirmer")</f>
        <v/>
      </c>
      <c r="S198" s="14" t="n"/>
      <c r="T198" s="15" t="n"/>
    </row>
    <row r="199">
      <c r="A199" s="16" t="inlineStr">
        <is>
          <t>PROD-0673</t>
        </is>
      </c>
      <c r="B199" s="16" t="inlineStr">
        <is>
          <t>Jus de pomme fraicheur</t>
        </is>
      </c>
      <c r="C199" s="16" t="inlineStr">
        <is>
          <t>BOISSON_SANS_ALCOOL</t>
        </is>
      </c>
      <c r="D199" s="16" t="inlineStr">
        <is>
          <t>JUS_DE_FRUIT</t>
        </is>
      </c>
      <c r="E199" s="16" t="inlineStr">
        <is>
          <t>ESSENTIEL</t>
        </is>
      </c>
      <c r="F199" s="16" t="inlineStr">
        <is>
          <t>SARL DOMAINE DE BILLY</t>
        </is>
      </c>
      <c r="G199" s="16" t="inlineStr">
        <is>
          <t>SARL DOMAINE DE BILLY</t>
        </is>
      </c>
      <c r="H199" s="16" t="inlineStr">
        <is>
          <t>1 L</t>
        </is>
      </c>
      <c r="I199" s="16" t="inlineStr">
        <is>
          <t>1000 ml</t>
        </is>
      </c>
      <c r="J199" s="16" t="inlineStr">
        <is>
          <t>NON</t>
        </is>
      </c>
      <c r="K199" s="20" t="inlineStr">
        <is>
          <t>À CONFIRMER</t>
        </is>
      </c>
      <c r="L199" s="18" t="n">
        <v>2.9</v>
      </c>
      <c r="M199" s="9" t="n">
        <v>7.3</v>
      </c>
      <c r="N199" s="10" t="inlineStr">
        <is>
          <t>PROPOSÉ</t>
        </is>
      </c>
      <c r="O199" s="11">
        <f>IF(M199="","",M199-L199)</f>
        <v/>
      </c>
      <c r="P199" s="12">
        <f>IF(OR(M199="",M199=0),"",(M199-L199)/M199)</f>
        <v/>
      </c>
      <c r="Q199" s="13">
        <f>IF(OR(M199="",L199=0,L199=""),"",M199/L199)</f>
        <v/>
      </c>
      <c r="R199" s="11">
        <f>IF(M199="","","TVA à confirmer")</f>
        <v/>
      </c>
      <c r="S199" s="14" t="n"/>
      <c r="T199" s="15" t="n"/>
    </row>
    <row r="200">
      <c r="A200" s="6" t="inlineStr">
        <is>
          <t>PROD-0672</t>
        </is>
      </c>
      <c r="B200" s="6" t="inlineStr">
        <is>
          <t>Jus de pomme</t>
        </is>
      </c>
      <c r="C200" s="6" t="inlineStr">
        <is>
          <t>BOISSON_SANS_ALCOOL</t>
        </is>
      </c>
      <c r="D200" s="6" t="inlineStr">
        <is>
          <t>JUS_DE_FRUIT</t>
        </is>
      </c>
      <c r="E200" s="6" t="inlineStr">
        <is>
          <t>ESSENTIEL</t>
        </is>
      </c>
      <c r="F200" s="6" t="inlineStr">
        <is>
          <t>SARL DOMAINE DE BILLY</t>
        </is>
      </c>
      <c r="G200" s="6" t="inlineStr">
        <is>
          <t>SARL DOMAINE DE BILLY</t>
        </is>
      </c>
      <c r="H200" s="6" t="inlineStr">
        <is>
          <t>1 L</t>
        </is>
      </c>
      <c r="I200" s="6" t="inlineStr">
        <is>
          <t>1000 ml</t>
        </is>
      </c>
      <c r="J200" s="6" t="inlineStr">
        <is>
          <t>NON</t>
        </is>
      </c>
      <c r="K200" s="19" t="inlineStr">
        <is>
          <t>À CONFIRMER</t>
        </is>
      </c>
      <c r="L200" s="8" t="n">
        <v>2.75</v>
      </c>
      <c r="M200" s="9" t="n">
        <v>7</v>
      </c>
      <c r="N200" s="10" t="inlineStr">
        <is>
          <t>PROPOSÉ</t>
        </is>
      </c>
      <c r="O200" s="11">
        <f>IF(M200="","",M200-L200)</f>
        <v/>
      </c>
      <c r="P200" s="12">
        <f>IF(OR(M200="",M200=0),"",(M200-L200)/M200)</f>
        <v/>
      </c>
      <c r="Q200" s="13">
        <f>IF(OR(M200="",L200=0,L200=""),"",M200/L200)</f>
        <v/>
      </c>
      <c r="R200" s="11">
        <f>IF(M200="","","TVA à confirmer")</f>
        <v/>
      </c>
      <c r="S200" s="14" t="n"/>
      <c r="T200" s="15" t="n"/>
    </row>
    <row r="201">
      <c r="A201" s="16" t="inlineStr">
        <is>
          <t>PROD-0344</t>
        </is>
      </c>
      <c r="B201" s="16" t="inlineStr">
        <is>
          <t>Jus de pomme bio 25 cl</t>
        </is>
      </c>
      <c r="C201" s="16" t="inlineStr">
        <is>
          <t>BOISSON_SANS_ALCOOL</t>
        </is>
      </c>
      <c r="D201" s="16" t="inlineStr">
        <is>
          <t>JUS_DE_FRUIT</t>
        </is>
      </c>
      <c r="E201" s="16" t="inlineStr">
        <is>
          <t>ESSENTIEL</t>
        </is>
      </c>
      <c r="F201" s="16" t="inlineStr">
        <is>
          <t>MAISON HEROUT</t>
        </is>
      </c>
      <c r="G201" s="16" t="inlineStr">
        <is>
          <t>NORMAND DIRECT TERROIR</t>
        </is>
      </c>
      <c r="H201" s="16" t="inlineStr"/>
      <c r="I201" s="16" t="inlineStr">
        <is>
          <t>250 ml</t>
        </is>
      </c>
      <c r="J201" s="16" t="inlineStr">
        <is>
          <t>NON</t>
        </is>
      </c>
      <c r="K201" s="17" t="inlineStr">
        <is>
          <t>5.5 %</t>
        </is>
      </c>
      <c r="L201" s="18" t="n">
        <v>1.98</v>
      </c>
      <c r="M201" s="9" t="n">
        <v>5</v>
      </c>
      <c r="N201" s="10" t="inlineStr">
        <is>
          <t>PROPOSÉ</t>
        </is>
      </c>
      <c r="O201" s="11">
        <f>IF(M201="","",M201-L201)</f>
        <v/>
      </c>
      <c r="P201" s="12">
        <f>IF(OR(M201="",M201=0),"",(M201-L201)/M201)</f>
        <v/>
      </c>
      <c r="Q201" s="13">
        <f>IF(OR(M201="",L201=0,L201=""),"",M201/L201)</f>
        <v/>
      </c>
      <c r="R201" s="11">
        <f>IF(M201="","",M201*1.055)</f>
        <v/>
      </c>
      <c r="S201" s="14" t="n"/>
      <c r="T201" s="15" t="n"/>
    </row>
    <row r="202">
      <c r="A202" s="6" t="inlineStr">
        <is>
          <t>PROD-0678</t>
        </is>
      </c>
      <c r="B202" s="6" t="inlineStr">
        <is>
          <t>Pomme Basilic</t>
        </is>
      </c>
      <c r="C202" s="6" t="inlineStr">
        <is>
          <t>BOISSON_SANS_ALCOOL</t>
        </is>
      </c>
      <c r="D202" s="6" t="inlineStr">
        <is>
          <t>JUS_DE_FRUIT</t>
        </is>
      </c>
      <c r="E202" s="6" t="inlineStr">
        <is>
          <t>ESSENTIEL</t>
        </is>
      </c>
      <c r="F202" s="6" t="inlineStr">
        <is>
          <t>SARL DOMAINE DE BILLY</t>
        </is>
      </c>
      <c r="G202" s="6" t="inlineStr">
        <is>
          <t>SARL DOMAINE DE BILLY</t>
        </is>
      </c>
      <c r="H202" s="6" t="inlineStr">
        <is>
          <t>33 cl</t>
        </is>
      </c>
      <c r="I202" s="6" t="inlineStr">
        <is>
          <t>330 ml</t>
        </is>
      </c>
      <c r="J202" s="6" t="inlineStr">
        <is>
          <t>NON</t>
        </is>
      </c>
      <c r="K202" s="19" t="inlineStr">
        <is>
          <t>À CONFIRMER</t>
        </is>
      </c>
      <c r="L202" s="8" t="n">
        <v>1.96</v>
      </c>
      <c r="M202" s="9" t="n">
        <v>5</v>
      </c>
      <c r="N202" s="10" t="inlineStr">
        <is>
          <t>PROPOSÉ</t>
        </is>
      </c>
      <c r="O202" s="11">
        <f>IF(M202="","",M202-L202)</f>
        <v/>
      </c>
      <c r="P202" s="12">
        <f>IF(OR(M202="",M202=0),"",(M202-L202)/M202)</f>
        <v/>
      </c>
      <c r="Q202" s="13">
        <f>IF(OR(M202="",L202=0,L202=""),"",M202/L202)</f>
        <v/>
      </c>
      <c r="R202" s="11">
        <f>IF(M202="","","TVA à confirmer")</f>
        <v/>
      </c>
      <c r="S202" s="14" t="n"/>
      <c r="T202" s="15" t="n"/>
    </row>
    <row r="203">
      <c r="A203" s="16" t="inlineStr">
        <is>
          <t>PROD-0679</t>
        </is>
      </c>
      <c r="B203" s="16" t="inlineStr">
        <is>
          <t>Pomme Menthe</t>
        </is>
      </c>
      <c r="C203" s="16" t="inlineStr">
        <is>
          <t>BOISSON_SANS_ALCOOL</t>
        </is>
      </c>
      <c r="D203" s="16" t="inlineStr">
        <is>
          <t>JUS_DE_FRUIT</t>
        </is>
      </c>
      <c r="E203" s="16" t="inlineStr">
        <is>
          <t>ESSENTIEL</t>
        </is>
      </c>
      <c r="F203" s="16" t="inlineStr">
        <is>
          <t>SARL DOMAINE DE BILLY</t>
        </is>
      </c>
      <c r="G203" s="16" t="inlineStr">
        <is>
          <t>SARL DOMAINE DE BILLY</t>
        </is>
      </c>
      <c r="H203" s="16" t="inlineStr">
        <is>
          <t>33 cl</t>
        </is>
      </c>
      <c r="I203" s="16" t="inlineStr">
        <is>
          <t>330 ml</t>
        </is>
      </c>
      <c r="J203" s="16" t="inlineStr">
        <is>
          <t>NON</t>
        </is>
      </c>
      <c r="K203" s="20" t="inlineStr">
        <is>
          <t>À CONFIRMER</t>
        </is>
      </c>
      <c r="L203" s="18" t="n">
        <v>1.96</v>
      </c>
      <c r="M203" s="9" t="n">
        <v>5</v>
      </c>
      <c r="N203" s="10" t="inlineStr">
        <is>
          <t>PROPOSÉ</t>
        </is>
      </c>
      <c r="O203" s="11">
        <f>IF(M203="","",M203-L203)</f>
        <v/>
      </c>
      <c r="P203" s="12">
        <f>IF(OR(M203="",M203=0),"",(M203-L203)/M203)</f>
        <v/>
      </c>
      <c r="Q203" s="13">
        <f>IF(OR(M203="",L203=0,L203=""),"",M203/L203)</f>
        <v/>
      </c>
      <c r="R203" s="11">
        <f>IF(M203="","","TVA à confirmer")</f>
        <v/>
      </c>
      <c r="S203" s="14" t="n"/>
      <c r="T203" s="15" t="n"/>
    </row>
    <row r="204">
      <c r="A204" s="6" t="inlineStr">
        <is>
          <t>PROD-0368</t>
        </is>
      </c>
      <c r="B204" s="6" t="inlineStr">
        <is>
          <t>Jus de pomme 25 cl</t>
        </is>
      </c>
      <c r="C204" s="6" t="inlineStr">
        <is>
          <t>BOISSON_SANS_ALCOOL</t>
        </is>
      </c>
      <c r="D204" s="6" t="inlineStr">
        <is>
          <t>JUS_DE_FRUIT</t>
        </is>
      </c>
      <c r="E204" s="6" t="inlineStr">
        <is>
          <t>ESSENTIEL</t>
        </is>
      </c>
      <c r="F204" s="6" t="inlineStr">
        <is>
          <t>GAEC DE CLAIDS</t>
        </is>
      </c>
      <c r="G204" s="6" t="inlineStr">
        <is>
          <t>NORMAND DIRECT TERROIR</t>
        </is>
      </c>
      <c r="H204" s="6" t="inlineStr"/>
      <c r="I204" s="6" t="inlineStr">
        <is>
          <t>250 ml</t>
        </is>
      </c>
      <c r="J204" s="6" t="inlineStr">
        <is>
          <t>NON</t>
        </is>
      </c>
      <c r="K204" s="7" t="inlineStr">
        <is>
          <t>5.5 %</t>
        </is>
      </c>
      <c r="L204" s="8" t="n">
        <v>1.9</v>
      </c>
      <c r="M204" s="9" t="n">
        <v>4.8</v>
      </c>
      <c r="N204" s="10" t="inlineStr">
        <is>
          <t>PROPOSÉ</t>
        </is>
      </c>
      <c r="O204" s="11">
        <f>IF(M204="","",M204-L204)</f>
        <v/>
      </c>
      <c r="P204" s="12">
        <f>IF(OR(M204="",M204=0),"",(M204-L204)/M204)</f>
        <v/>
      </c>
      <c r="Q204" s="13">
        <f>IF(OR(M204="",L204=0,L204=""),"",M204/L204)</f>
        <v/>
      </c>
      <c r="R204" s="11">
        <f>IF(M204="","",M204*1.055)</f>
        <v/>
      </c>
      <c r="S204" s="14" t="n"/>
      <c r="T204" s="15" t="n"/>
    </row>
    <row r="205">
      <c r="A205" s="16" t="inlineStr">
        <is>
          <t>PROD-0680</t>
        </is>
      </c>
      <c r="B205" s="16" t="inlineStr">
        <is>
          <t>Pomme Framboise</t>
        </is>
      </c>
      <c r="C205" s="16" t="inlineStr">
        <is>
          <t>BOISSON_SANS_ALCOOL</t>
        </is>
      </c>
      <c r="D205" s="16" t="inlineStr">
        <is>
          <t>JUS_DE_FRUIT</t>
        </is>
      </c>
      <c r="E205" s="16" t="inlineStr">
        <is>
          <t>ESSENTIEL</t>
        </is>
      </c>
      <c r="F205" s="16" t="inlineStr">
        <is>
          <t>SARL DOMAINE DE BILLY</t>
        </is>
      </c>
      <c r="G205" s="16" t="inlineStr">
        <is>
          <t>SARL DOMAINE DE BILLY</t>
        </is>
      </c>
      <c r="H205" s="16" t="inlineStr">
        <is>
          <t>33 cl</t>
        </is>
      </c>
      <c r="I205" s="16" t="inlineStr">
        <is>
          <t>330 ml</t>
        </is>
      </c>
      <c r="J205" s="16" t="inlineStr">
        <is>
          <t>NON</t>
        </is>
      </c>
      <c r="K205" s="20" t="inlineStr">
        <is>
          <t>À CONFIRMER</t>
        </is>
      </c>
      <c r="L205" s="18" t="n">
        <v>1.89</v>
      </c>
      <c r="M205" s="9" t="n">
        <v>4.8</v>
      </c>
      <c r="N205" s="10" t="inlineStr">
        <is>
          <t>PROPOSÉ</t>
        </is>
      </c>
      <c r="O205" s="11">
        <f>IF(M205="","",M205-L205)</f>
        <v/>
      </c>
      <c r="P205" s="12">
        <f>IF(OR(M205="",M205=0),"",(M205-L205)/M205)</f>
        <v/>
      </c>
      <c r="Q205" s="13">
        <f>IF(OR(M205="",L205=0,L205=""),"",M205/L205)</f>
        <v/>
      </c>
      <c r="R205" s="11">
        <f>IF(M205="","","TVA à confirmer")</f>
        <v/>
      </c>
      <c r="S205" s="14" t="n"/>
      <c r="T205" s="15" t="n"/>
    </row>
    <row r="206">
      <c r="A206" s="6" t="inlineStr">
        <is>
          <t>PROD-0681</t>
        </is>
      </c>
      <c r="B206" s="6" t="inlineStr">
        <is>
          <t>Pomme Myrtille</t>
        </is>
      </c>
      <c r="C206" s="6" t="inlineStr">
        <is>
          <t>BOISSON_SANS_ALCOOL</t>
        </is>
      </c>
      <c r="D206" s="6" t="inlineStr">
        <is>
          <t>JUS_DE_FRUIT</t>
        </is>
      </c>
      <c r="E206" s="6" t="inlineStr">
        <is>
          <t>ESSENTIEL</t>
        </is>
      </c>
      <c r="F206" s="6" t="inlineStr">
        <is>
          <t>SARL DOMAINE DE BILLY</t>
        </is>
      </c>
      <c r="G206" s="6" t="inlineStr">
        <is>
          <t>SARL DOMAINE DE BILLY</t>
        </is>
      </c>
      <c r="H206" s="6" t="inlineStr">
        <is>
          <t>33 cl</t>
        </is>
      </c>
      <c r="I206" s="6" t="inlineStr">
        <is>
          <t>330 ml</t>
        </is>
      </c>
      <c r="J206" s="6" t="inlineStr">
        <is>
          <t>NON</t>
        </is>
      </c>
      <c r="K206" s="19" t="inlineStr">
        <is>
          <t>À CONFIRMER</t>
        </is>
      </c>
      <c r="L206" s="8" t="n">
        <v>1.89</v>
      </c>
      <c r="M206" s="9" t="n">
        <v>4.8</v>
      </c>
      <c r="N206" s="10" t="inlineStr">
        <is>
          <t>PROPOSÉ</t>
        </is>
      </c>
      <c r="O206" s="11">
        <f>IF(M206="","",M206-L206)</f>
        <v/>
      </c>
      <c r="P206" s="12">
        <f>IF(OR(M206="",M206=0),"",(M206-L206)/M206)</f>
        <v/>
      </c>
      <c r="Q206" s="13">
        <f>IF(OR(M206="",L206=0,L206=""),"",M206/L206)</f>
        <v/>
      </c>
      <c r="R206" s="11">
        <f>IF(M206="","","TVA à confirmer")</f>
        <v/>
      </c>
      <c r="S206" s="14" t="n"/>
      <c r="T206" s="15" t="n"/>
    </row>
    <row r="207">
      <c r="A207" s="16" t="inlineStr">
        <is>
          <t>PROD-0682</t>
        </is>
      </c>
      <c r="B207" s="16" t="inlineStr">
        <is>
          <t>Pomme Rhubarbe</t>
        </is>
      </c>
      <c r="C207" s="16" t="inlineStr">
        <is>
          <t>BOISSON_SANS_ALCOOL</t>
        </is>
      </c>
      <c r="D207" s="16" t="inlineStr">
        <is>
          <t>JUS_DE_FRUIT</t>
        </is>
      </c>
      <c r="E207" s="16" t="inlineStr">
        <is>
          <t>ESSENTIEL</t>
        </is>
      </c>
      <c r="F207" s="16" t="inlineStr">
        <is>
          <t>SARL DOMAINE DE BILLY</t>
        </is>
      </c>
      <c r="G207" s="16" t="inlineStr">
        <is>
          <t>SARL DOMAINE DE BILLY</t>
        </is>
      </c>
      <c r="H207" s="16" t="inlineStr">
        <is>
          <t>33 cl</t>
        </is>
      </c>
      <c r="I207" s="16" t="inlineStr">
        <is>
          <t>330 ml</t>
        </is>
      </c>
      <c r="J207" s="16" t="inlineStr">
        <is>
          <t>NON</t>
        </is>
      </c>
      <c r="K207" s="20" t="inlineStr">
        <is>
          <t>À CONFIRMER</t>
        </is>
      </c>
      <c r="L207" s="18" t="n">
        <v>1.89</v>
      </c>
      <c r="M207" s="9" t="n">
        <v>4.8</v>
      </c>
      <c r="N207" s="10" t="inlineStr">
        <is>
          <t>PROPOSÉ</t>
        </is>
      </c>
      <c r="O207" s="11">
        <f>IF(M207="","",M207-L207)</f>
        <v/>
      </c>
      <c r="P207" s="12">
        <f>IF(OR(M207="",M207=0),"",(M207-L207)/M207)</f>
        <v/>
      </c>
      <c r="Q207" s="13">
        <f>IF(OR(M207="",L207=0,L207=""),"",M207/L207)</f>
        <v/>
      </c>
      <c r="R207" s="11">
        <f>IF(M207="","","TVA à confirmer")</f>
        <v/>
      </c>
      <c r="S207" s="14" t="n"/>
      <c r="T207" s="15" t="n"/>
    </row>
    <row r="208">
      <c r="A208" s="6" t="inlineStr">
        <is>
          <t>PROD-0677</t>
        </is>
      </c>
      <c r="B208" s="6" t="inlineStr">
        <is>
          <t>Pomme Pétillant</t>
        </is>
      </c>
      <c r="C208" s="6" t="inlineStr">
        <is>
          <t>BOISSON_SANS_ALCOOL</t>
        </is>
      </c>
      <c r="D208" s="6" t="inlineStr">
        <is>
          <t>JUS_DE_FRUIT</t>
        </is>
      </c>
      <c r="E208" s="6" t="inlineStr">
        <is>
          <t>ESSENTIEL</t>
        </is>
      </c>
      <c r="F208" s="6" t="inlineStr">
        <is>
          <t>SARL DOMAINE DE BILLY</t>
        </is>
      </c>
      <c r="G208" s="6" t="inlineStr">
        <is>
          <t>SARL DOMAINE DE BILLY</t>
        </is>
      </c>
      <c r="H208" s="6" t="inlineStr">
        <is>
          <t>33 cl</t>
        </is>
      </c>
      <c r="I208" s="6" t="inlineStr">
        <is>
          <t>330 ml</t>
        </is>
      </c>
      <c r="J208" s="6" t="inlineStr">
        <is>
          <t>NON</t>
        </is>
      </c>
      <c r="K208" s="19" t="inlineStr">
        <is>
          <t>À CONFIRMER</t>
        </is>
      </c>
      <c r="L208" s="8" t="n">
        <v>1.79</v>
      </c>
      <c r="M208" s="9" t="n">
        <v>4.5</v>
      </c>
      <c r="N208" s="10" t="inlineStr">
        <is>
          <t>PROPOSÉ</t>
        </is>
      </c>
      <c r="O208" s="11">
        <f>IF(M208="","",M208-L208)</f>
        <v/>
      </c>
      <c r="P208" s="12">
        <f>IF(OR(M208="",M208=0),"",(M208-L208)/M208)</f>
        <v/>
      </c>
      <c r="Q208" s="13">
        <f>IF(OR(M208="",L208=0,L208=""),"",M208/L208)</f>
        <v/>
      </c>
      <c r="R208" s="11">
        <f>IF(M208="","","TVA à confirmer")</f>
        <v/>
      </c>
      <c r="S208" s="14" t="n"/>
      <c r="T208" s="15" t="n"/>
    </row>
    <row r="209">
      <c r="A209" s="16" t="inlineStr">
        <is>
          <t>PROD-0676</t>
        </is>
      </c>
      <c r="B209" s="16" t="inlineStr">
        <is>
          <t>Pomme Amour</t>
        </is>
      </c>
      <c r="C209" s="16" t="inlineStr">
        <is>
          <t>BOISSON_SANS_ALCOOL</t>
        </is>
      </c>
      <c r="D209" s="16" t="inlineStr">
        <is>
          <t>JUS_DE_FRUIT</t>
        </is>
      </c>
      <c r="E209" s="16" t="inlineStr">
        <is>
          <t>ESSENTIEL</t>
        </is>
      </c>
      <c r="F209" s="16" t="inlineStr">
        <is>
          <t>SARL DOMAINE DE BILLY</t>
        </is>
      </c>
      <c r="G209" s="16" t="inlineStr">
        <is>
          <t>SARL DOMAINE DE BILLY</t>
        </is>
      </c>
      <c r="H209" s="16" t="inlineStr">
        <is>
          <t>33 cl</t>
        </is>
      </c>
      <c r="I209" s="16" t="inlineStr">
        <is>
          <t>330 ml</t>
        </is>
      </c>
      <c r="J209" s="16" t="inlineStr">
        <is>
          <t>NON</t>
        </is>
      </c>
      <c r="K209" s="20" t="inlineStr">
        <is>
          <t>À CONFIRMER</t>
        </is>
      </c>
      <c r="L209" s="18" t="n">
        <v>1.65</v>
      </c>
      <c r="M209" s="9" t="n">
        <v>4.2</v>
      </c>
      <c r="N209" s="10" t="inlineStr">
        <is>
          <t>PROPOSÉ</t>
        </is>
      </c>
      <c r="O209" s="11">
        <f>IF(M209="","",M209-L209)</f>
        <v/>
      </c>
      <c r="P209" s="12">
        <f>IF(OR(M209="",M209=0),"",(M209-L209)/M209)</f>
        <v/>
      </c>
      <c r="Q209" s="13">
        <f>IF(OR(M209="",L209=0,L209=""),"",M209/L209)</f>
        <v/>
      </c>
      <c r="R209" s="11">
        <f>IF(M209="","","TVA à confirmer")</f>
        <v/>
      </c>
      <c r="S209" s="14" t="n"/>
      <c r="T209" s="15" t="n"/>
    </row>
    <row r="210">
      <c r="A210" s="6" t="inlineStr">
        <is>
          <t>PROD-0346</t>
        </is>
      </c>
      <c r="B210" s="6" t="inlineStr">
        <is>
          <t>jus de pomme bio 300 cl bib</t>
        </is>
      </c>
      <c r="C210" s="6" t="inlineStr">
        <is>
          <t>BOISSON_SANS_ALCOOL</t>
        </is>
      </c>
      <c r="D210" s="6" t="inlineStr">
        <is>
          <t>JUS_DE_FRUIT</t>
        </is>
      </c>
      <c r="E210" s="6" t="inlineStr">
        <is>
          <t>SIGNATURE</t>
        </is>
      </c>
      <c r="F210" s="6" t="inlineStr">
        <is>
          <t>MAISON HEROUT</t>
        </is>
      </c>
      <c r="G210" s="6" t="inlineStr">
        <is>
          <t>NORMAND DIRECT TERROIR</t>
        </is>
      </c>
      <c r="H210" s="6" t="inlineStr"/>
      <c r="I210" s="6" t="inlineStr">
        <is>
          <t>3000 ml</t>
        </is>
      </c>
      <c r="J210" s="6" t="inlineStr">
        <is>
          <t>NON</t>
        </is>
      </c>
      <c r="K210" s="7" t="inlineStr">
        <is>
          <t>5.5 %</t>
        </is>
      </c>
      <c r="L210" s="8" t="n">
        <v>9.68</v>
      </c>
      <c r="M210" s="9" t="n">
        <v>20.5</v>
      </c>
      <c r="N210" s="10" t="inlineStr">
        <is>
          <t>PROPOSÉ</t>
        </is>
      </c>
      <c r="O210" s="11">
        <f>IF(M210="","",M210-L210)</f>
        <v/>
      </c>
      <c r="P210" s="12">
        <f>IF(OR(M210="",M210=0),"",(M210-L210)/M210)</f>
        <v/>
      </c>
      <c r="Q210" s="13">
        <f>IF(OR(M210="",L210=0,L210=""),"",M210/L210)</f>
        <v/>
      </c>
      <c r="R210" s="11">
        <f>IF(M210="","",M210*1.055)</f>
        <v/>
      </c>
      <c r="S210" s="14" t="n"/>
      <c r="T210" s="15" t="n"/>
    </row>
    <row r="211">
      <c r="A211" s="16" t="inlineStr">
        <is>
          <t>PROD-0309</t>
        </is>
      </c>
      <c r="B211" s="16" t="inlineStr">
        <is>
          <t>Calvados Arrangé Kumquat Café 20 cl</t>
        </is>
      </c>
      <c r="C211" s="16" t="inlineStr">
        <is>
          <t>BOISSON_SANS_ALCOOL</t>
        </is>
      </c>
      <c r="D211" s="16" t="inlineStr">
        <is>
          <t>CAFE</t>
        </is>
      </c>
      <c r="E211" s="16" t="inlineStr">
        <is>
          <t>SIGNATURE</t>
        </is>
      </c>
      <c r="F211" s="16" t="inlineStr">
        <is>
          <t>POM’ POM’</t>
        </is>
      </c>
      <c r="G211" s="16" t="inlineStr">
        <is>
          <t>NORMAND DIRECT TERROIR</t>
        </is>
      </c>
      <c r="H211" s="16" t="inlineStr"/>
      <c r="I211" s="16" t="inlineStr">
        <is>
          <t>200 ml</t>
        </is>
      </c>
      <c r="J211" s="16" t="inlineStr">
        <is>
          <t>INGREDIENT_ALCOOLISE</t>
        </is>
      </c>
      <c r="K211" s="17" t="inlineStr">
        <is>
          <t>20 %</t>
        </is>
      </c>
      <c r="L211" s="18" t="n">
        <v>9.1</v>
      </c>
      <c r="M211" s="9" t="n">
        <v>19.3</v>
      </c>
      <c r="N211" s="10" t="inlineStr">
        <is>
          <t>PROPOSÉ</t>
        </is>
      </c>
      <c r="O211" s="11">
        <f>IF(M211="","",M211-L211)</f>
        <v/>
      </c>
      <c r="P211" s="12">
        <f>IF(OR(M211="",M211=0),"",(M211-L211)/M211)</f>
        <v/>
      </c>
      <c r="Q211" s="13">
        <f>IF(OR(M211="",L211=0,L211=""),"",M211/L211)</f>
        <v/>
      </c>
      <c r="R211" s="11">
        <f>IF(M211="","",M211*1.2)</f>
        <v/>
      </c>
      <c r="S211" s="14" t="n"/>
      <c r="T211" s="15" t="n"/>
    </row>
    <row r="212">
      <c r="A212" s="6" t="inlineStr">
        <is>
          <t>PROD-0224</t>
        </is>
      </c>
      <c r="B212" s="6" t="inlineStr">
        <is>
          <t>Thé noir  God save the tea</t>
        </is>
      </c>
      <c r="C212" s="6" t="inlineStr">
        <is>
          <t>BOISSON_SANS_ALCOOL</t>
        </is>
      </c>
      <c r="D212" s="6" t="inlineStr">
        <is>
          <t>THE_ET_INFUSION</t>
        </is>
      </c>
      <c r="E212" s="6" t="inlineStr">
        <is>
          <t>SIGNATURE</t>
        </is>
      </c>
      <c r="F212" s="6" t="inlineStr">
        <is>
          <t>TATASSE</t>
        </is>
      </c>
      <c r="G212" s="6" t="inlineStr">
        <is>
          <t>NORMAND DIRECT TERROIR</t>
        </is>
      </c>
      <c r="H212" s="6" t="inlineStr">
        <is>
          <t>Sachet Kraft 100g</t>
        </is>
      </c>
      <c r="I212" s="6" t="inlineStr">
        <is>
          <t>100 g</t>
        </is>
      </c>
      <c r="J212" s="6" t="inlineStr">
        <is>
          <t>NON</t>
        </is>
      </c>
      <c r="K212" s="7" t="inlineStr">
        <is>
          <t>5.5 %</t>
        </is>
      </c>
      <c r="L212" s="8" t="n">
        <v>5.78</v>
      </c>
      <c r="M212" s="9" t="n">
        <v>13.3</v>
      </c>
      <c r="N212" s="10" t="inlineStr">
        <is>
          <t>PROPOSÉ</t>
        </is>
      </c>
      <c r="O212" s="11">
        <f>IF(M212="","",M212-L212)</f>
        <v/>
      </c>
      <c r="P212" s="12">
        <f>IF(OR(M212="",M212=0),"",(M212-L212)/M212)</f>
        <v/>
      </c>
      <c r="Q212" s="13">
        <f>IF(OR(M212="",L212=0,L212=""),"",M212/L212)</f>
        <v/>
      </c>
      <c r="R212" s="11">
        <f>IF(M212="","",M212*1.055)</f>
        <v/>
      </c>
      <c r="S212" s="14" t="n"/>
      <c r="T212" s="15" t="n"/>
    </row>
    <row r="213">
      <c r="A213" s="16" t="inlineStr">
        <is>
          <t>PROD-0225</t>
        </is>
      </c>
      <c r="B213" s="16" t="inlineStr">
        <is>
          <t>Thé noir Vahiné</t>
        </is>
      </c>
      <c r="C213" s="16" t="inlineStr">
        <is>
          <t>BOISSON_SANS_ALCOOL</t>
        </is>
      </c>
      <c r="D213" s="16" t="inlineStr">
        <is>
          <t>THE_ET_INFUSION</t>
        </is>
      </c>
      <c r="E213" s="16" t="inlineStr">
        <is>
          <t>SIGNATURE</t>
        </is>
      </c>
      <c r="F213" s="16" t="inlineStr">
        <is>
          <t>TATASSE</t>
        </is>
      </c>
      <c r="G213" s="16" t="inlineStr">
        <is>
          <t>NORMAND DIRECT TERROIR</t>
        </is>
      </c>
      <c r="H213" s="16" t="inlineStr">
        <is>
          <t>Sachet Kraft 100g</t>
        </is>
      </c>
      <c r="I213" s="16" t="inlineStr">
        <is>
          <t>100 g</t>
        </is>
      </c>
      <c r="J213" s="16" t="inlineStr">
        <is>
          <t>NON</t>
        </is>
      </c>
      <c r="K213" s="17" t="inlineStr">
        <is>
          <t>5.5 %</t>
        </is>
      </c>
      <c r="L213" s="18" t="n">
        <v>5.78</v>
      </c>
      <c r="M213" s="9" t="n">
        <v>13.3</v>
      </c>
      <c r="N213" s="10" t="inlineStr">
        <is>
          <t>PROPOSÉ</t>
        </is>
      </c>
      <c r="O213" s="11">
        <f>IF(M213="","",M213-L213)</f>
        <v/>
      </c>
      <c r="P213" s="12">
        <f>IF(OR(M213="",M213=0),"",(M213-L213)/M213)</f>
        <v/>
      </c>
      <c r="Q213" s="13">
        <f>IF(OR(M213="",L213=0,L213=""),"",M213/L213)</f>
        <v/>
      </c>
      <c r="R213" s="11">
        <f>IF(M213="","",M213*1.055)</f>
        <v/>
      </c>
      <c r="S213" s="14" t="n"/>
      <c r="T213" s="15" t="n"/>
    </row>
    <row r="214">
      <c r="A214" s="6" t="inlineStr">
        <is>
          <t>PROD-0226</t>
        </is>
      </c>
      <c r="B214" s="6" t="inlineStr">
        <is>
          <t>Thé noir Blue twist</t>
        </is>
      </c>
      <c r="C214" s="6" t="inlineStr">
        <is>
          <t>BOISSON_SANS_ALCOOL</t>
        </is>
      </c>
      <c r="D214" s="6" t="inlineStr">
        <is>
          <t>THE_ET_INFUSION</t>
        </is>
      </c>
      <c r="E214" s="6" t="inlineStr">
        <is>
          <t>SIGNATURE</t>
        </is>
      </c>
      <c r="F214" s="6" t="inlineStr">
        <is>
          <t>TATASSE</t>
        </is>
      </c>
      <c r="G214" s="6" t="inlineStr">
        <is>
          <t>NORMAND DIRECT TERROIR</t>
        </is>
      </c>
      <c r="H214" s="6" t="inlineStr">
        <is>
          <t>Sachet Kraft 100g</t>
        </is>
      </c>
      <c r="I214" s="6" t="inlineStr">
        <is>
          <t>100 g</t>
        </is>
      </c>
      <c r="J214" s="6" t="inlineStr">
        <is>
          <t>NON</t>
        </is>
      </c>
      <c r="K214" s="7" t="inlineStr">
        <is>
          <t>5.5 %</t>
        </is>
      </c>
      <c r="L214" s="8" t="n">
        <v>5.78</v>
      </c>
      <c r="M214" s="9" t="n">
        <v>13.3</v>
      </c>
      <c r="N214" s="10" t="inlineStr">
        <is>
          <t>PROPOSÉ</t>
        </is>
      </c>
      <c r="O214" s="11">
        <f>IF(M214="","",M214-L214)</f>
        <v/>
      </c>
      <c r="P214" s="12">
        <f>IF(OR(M214="",M214=0),"",(M214-L214)/M214)</f>
        <v/>
      </c>
      <c r="Q214" s="13">
        <f>IF(OR(M214="",L214=0,L214=""),"",M214/L214)</f>
        <v/>
      </c>
      <c r="R214" s="11">
        <f>IF(M214="","",M214*1.055)</f>
        <v/>
      </c>
      <c r="S214" s="14" t="n"/>
      <c r="T214" s="15" t="n"/>
    </row>
    <row r="215">
      <c r="A215" s="16" t="inlineStr">
        <is>
          <t>PROD-0227</t>
        </is>
      </c>
      <c r="B215" s="16" t="inlineStr">
        <is>
          <t>Thé noir Back in Black</t>
        </is>
      </c>
      <c r="C215" s="16" t="inlineStr">
        <is>
          <t>BOISSON_SANS_ALCOOL</t>
        </is>
      </c>
      <c r="D215" s="16" t="inlineStr">
        <is>
          <t>THE_ET_INFUSION</t>
        </is>
      </c>
      <c r="E215" s="16" t="inlineStr">
        <is>
          <t>SIGNATURE</t>
        </is>
      </c>
      <c r="F215" s="16" t="inlineStr">
        <is>
          <t>TATASSE</t>
        </is>
      </c>
      <c r="G215" s="16" t="inlineStr">
        <is>
          <t>NORMAND DIRECT TERROIR</t>
        </is>
      </c>
      <c r="H215" s="16" t="inlineStr">
        <is>
          <t>Sachet Kraft 100g</t>
        </is>
      </c>
      <c r="I215" s="16" t="inlineStr">
        <is>
          <t>100 g</t>
        </is>
      </c>
      <c r="J215" s="16" t="inlineStr">
        <is>
          <t>NON</t>
        </is>
      </c>
      <c r="K215" s="17" t="inlineStr">
        <is>
          <t>5.5 %</t>
        </is>
      </c>
      <c r="L215" s="18" t="n">
        <v>5.78</v>
      </c>
      <c r="M215" s="9" t="n">
        <v>13.3</v>
      </c>
      <c r="N215" s="10" t="inlineStr">
        <is>
          <t>PROPOSÉ</t>
        </is>
      </c>
      <c r="O215" s="11">
        <f>IF(M215="","",M215-L215)</f>
        <v/>
      </c>
      <c r="P215" s="12">
        <f>IF(OR(M215="",M215=0),"",(M215-L215)/M215)</f>
        <v/>
      </c>
      <c r="Q215" s="13">
        <f>IF(OR(M215="",L215=0,L215=""),"",M215/L215)</f>
        <v/>
      </c>
      <c r="R215" s="11">
        <f>IF(M215="","",M215*1.055)</f>
        <v/>
      </c>
      <c r="S215" s="14" t="n"/>
      <c r="T215" s="15" t="n"/>
    </row>
    <row r="216">
      <c r="A216" s="6" t="inlineStr">
        <is>
          <t>PROD-0228</t>
        </is>
      </c>
      <c r="B216" s="6" t="inlineStr">
        <is>
          <t>Thé noir Jeu de l'agrume</t>
        </is>
      </c>
      <c r="C216" s="6" t="inlineStr">
        <is>
          <t>BOISSON_SANS_ALCOOL</t>
        </is>
      </c>
      <c r="D216" s="6" t="inlineStr">
        <is>
          <t>THE_ET_INFUSION</t>
        </is>
      </c>
      <c r="E216" s="6" t="inlineStr">
        <is>
          <t>SIGNATURE</t>
        </is>
      </c>
      <c r="F216" s="6" t="inlineStr">
        <is>
          <t>TATASSE</t>
        </is>
      </c>
      <c r="G216" s="6" t="inlineStr">
        <is>
          <t>NORMAND DIRECT TERROIR</t>
        </is>
      </c>
      <c r="H216" s="6" t="inlineStr">
        <is>
          <t>Sachet Kraft 100g</t>
        </is>
      </c>
      <c r="I216" s="6" t="inlineStr">
        <is>
          <t>100 g</t>
        </is>
      </c>
      <c r="J216" s="6" t="inlineStr">
        <is>
          <t>NON</t>
        </is>
      </c>
      <c r="K216" s="7" t="inlineStr">
        <is>
          <t>5.5 %</t>
        </is>
      </c>
      <c r="L216" s="8" t="n">
        <v>5.78</v>
      </c>
      <c r="M216" s="9" t="n">
        <v>13.3</v>
      </c>
      <c r="N216" s="10" t="inlineStr">
        <is>
          <t>PROPOSÉ</t>
        </is>
      </c>
      <c r="O216" s="11">
        <f>IF(M216="","",M216-L216)</f>
        <v/>
      </c>
      <c r="P216" s="12">
        <f>IF(OR(M216="",M216=0),"",(M216-L216)/M216)</f>
        <v/>
      </c>
      <c r="Q216" s="13">
        <f>IF(OR(M216="",L216=0,L216=""),"",M216/L216)</f>
        <v/>
      </c>
      <c r="R216" s="11">
        <f>IF(M216="","",M216*1.055)</f>
        <v/>
      </c>
      <c r="S216" s="14" t="n"/>
      <c r="T216" s="15" t="n"/>
    </row>
    <row r="217">
      <c r="A217" s="16" t="inlineStr">
        <is>
          <t>PROD-0229</t>
        </is>
      </c>
      <c r="B217" s="16" t="inlineStr">
        <is>
          <t>Thé vert Chaud Mojito</t>
        </is>
      </c>
      <c r="C217" s="16" t="inlineStr">
        <is>
          <t>BOISSON_SANS_ALCOOL</t>
        </is>
      </c>
      <c r="D217" s="16" t="inlineStr">
        <is>
          <t>THE_ET_INFUSION</t>
        </is>
      </c>
      <c r="E217" s="16" t="inlineStr">
        <is>
          <t>SIGNATURE</t>
        </is>
      </c>
      <c r="F217" s="16" t="inlineStr">
        <is>
          <t>TATASSE</t>
        </is>
      </c>
      <c r="G217" s="16" t="inlineStr">
        <is>
          <t>NORMAND DIRECT TERROIR</t>
        </is>
      </c>
      <c r="H217" s="16" t="inlineStr">
        <is>
          <t>Sachet Kraft 100g</t>
        </is>
      </c>
      <c r="I217" s="16" t="inlineStr">
        <is>
          <t>100 g</t>
        </is>
      </c>
      <c r="J217" s="16" t="inlineStr">
        <is>
          <t>NON</t>
        </is>
      </c>
      <c r="K217" s="17" t="inlineStr">
        <is>
          <t>5.5 %</t>
        </is>
      </c>
      <c r="L217" s="18" t="n">
        <v>5.78</v>
      </c>
      <c r="M217" s="9" t="n">
        <v>13.3</v>
      </c>
      <c r="N217" s="10" t="inlineStr">
        <is>
          <t>PROPOSÉ</t>
        </is>
      </c>
      <c r="O217" s="11">
        <f>IF(M217="","",M217-L217)</f>
        <v/>
      </c>
      <c r="P217" s="12">
        <f>IF(OR(M217="",M217=0),"",(M217-L217)/M217)</f>
        <v/>
      </c>
      <c r="Q217" s="13">
        <f>IF(OR(M217="",L217=0,L217=""),"",M217/L217)</f>
        <v/>
      </c>
      <c r="R217" s="11">
        <f>IF(M217="","",M217*1.055)</f>
        <v/>
      </c>
      <c r="S217" s="14" t="n"/>
      <c r="T217" s="15" t="n"/>
    </row>
    <row r="218">
      <c r="A218" s="6" t="inlineStr">
        <is>
          <t>PROD-0230</t>
        </is>
      </c>
      <c r="B218" s="6" t="inlineStr">
        <is>
          <t>Thé vert Tasse de Génie</t>
        </is>
      </c>
      <c r="C218" s="6" t="inlineStr">
        <is>
          <t>BOISSON_SANS_ALCOOL</t>
        </is>
      </c>
      <c r="D218" s="6" t="inlineStr">
        <is>
          <t>THE_ET_INFUSION</t>
        </is>
      </c>
      <c r="E218" s="6" t="inlineStr">
        <is>
          <t>SIGNATURE</t>
        </is>
      </c>
      <c r="F218" s="6" t="inlineStr">
        <is>
          <t>TATASSE</t>
        </is>
      </c>
      <c r="G218" s="6" t="inlineStr">
        <is>
          <t>NORMAND DIRECT TERROIR</t>
        </is>
      </c>
      <c r="H218" s="6" t="inlineStr">
        <is>
          <t>Sachet Kraft 100g</t>
        </is>
      </c>
      <c r="I218" s="6" t="inlineStr">
        <is>
          <t>100 g</t>
        </is>
      </c>
      <c r="J218" s="6" t="inlineStr">
        <is>
          <t>NON</t>
        </is>
      </c>
      <c r="K218" s="7" t="inlineStr">
        <is>
          <t>5.5 %</t>
        </is>
      </c>
      <c r="L218" s="8" t="n">
        <v>5.78</v>
      </c>
      <c r="M218" s="9" t="n">
        <v>13.3</v>
      </c>
      <c r="N218" s="10" t="inlineStr">
        <is>
          <t>PROPOSÉ</t>
        </is>
      </c>
      <c r="O218" s="11">
        <f>IF(M218="","",M218-L218)</f>
        <v/>
      </c>
      <c r="P218" s="12">
        <f>IF(OR(M218="",M218=0),"",(M218-L218)/M218)</f>
        <v/>
      </c>
      <c r="Q218" s="13">
        <f>IF(OR(M218="",L218=0,L218=""),"",M218/L218)</f>
        <v/>
      </c>
      <c r="R218" s="11">
        <f>IF(M218="","",M218*1.055)</f>
        <v/>
      </c>
      <c r="S218" s="14" t="n"/>
      <c r="T218" s="15" t="n"/>
    </row>
    <row r="219">
      <c r="A219" s="16" t="inlineStr">
        <is>
          <t>PROD-0231</t>
        </is>
      </c>
      <c r="B219" s="16" t="inlineStr">
        <is>
          <t>Thé vert Hakuna Matatasse</t>
        </is>
      </c>
      <c r="C219" s="16" t="inlineStr">
        <is>
          <t>BOISSON_SANS_ALCOOL</t>
        </is>
      </c>
      <c r="D219" s="16" t="inlineStr">
        <is>
          <t>THE_ET_INFUSION</t>
        </is>
      </c>
      <c r="E219" s="16" t="inlineStr">
        <is>
          <t>SIGNATURE</t>
        </is>
      </c>
      <c r="F219" s="16" t="inlineStr">
        <is>
          <t>TATASSE</t>
        </is>
      </c>
      <c r="G219" s="16" t="inlineStr">
        <is>
          <t>NORMAND DIRECT TERROIR</t>
        </is>
      </c>
      <c r="H219" s="16" t="inlineStr">
        <is>
          <t>Sachet Kraft 100g</t>
        </is>
      </c>
      <c r="I219" s="16" t="inlineStr">
        <is>
          <t>100 g</t>
        </is>
      </c>
      <c r="J219" s="16" t="inlineStr">
        <is>
          <t>NON</t>
        </is>
      </c>
      <c r="K219" s="17" t="inlineStr">
        <is>
          <t>5.5 %</t>
        </is>
      </c>
      <c r="L219" s="18" t="n">
        <v>5.78</v>
      </c>
      <c r="M219" s="9" t="n">
        <v>13.3</v>
      </c>
      <c r="N219" s="10" t="inlineStr">
        <is>
          <t>PROPOSÉ</t>
        </is>
      </c>
      <c r="O219" s="11">
        <f>IF(M219="","",M219-L219)</f>
        <v/>
      </c>
      <c r="P219" s="12">
        <f>IF(OR(M219="",M219=0),"",(M219-L219)/M219)</f>
        <v/>
      </c>
      <c r="Q219" s="13">
        <f>IF(OR(M219="",L219=0,L219=""),"",M219/L219)</f>
        <v/>
      </c>
      <c r="R219" s="11">
        <f>IF(M219="","",M219*1.055)</f>
        <v/>
      </c>
      <c r="S219" s="14" t="n"/>
      <c r="T219" s="15" t="n"/>
    </row>
    <row r="220">
      <c r="A220" s="6" t="inlineStr">
        <is>
          <t>PROD-0232</t>
        </is>
      </c>
      <c r="B220" s="6" t="inlineStr">
        <is>
          <t>Thé vert Jardin d'agrumes</t>
        </is>
      </c>
      <c r="C220" s="6" t="inlineStr">
        <is>
          <t>BOISSON_SANS_ALCOOL</t>
        </is>
      </c>
      <c r="D220" s="6" t="inlineStr">
        <is>
          <t>THE_ET_INFUSION</t>
        </is>
      </c>
      <c r="E220" s="6" t="inlineStr">
        <is>
          <t>SIGNATURE</t>
        </is>
      </c>
      <c r="F220" s="6" t="inlineStr">
        <is>
          <t>TATASSE</t>
        </is>
      </c>
      <c r="G220" s="6" t="inlineStr">
        <is>
          <t>NORMAND DIRECT TERROIR</t>
        </is>
      </c>
      <c r="H220" s="6" t="inlineStr">
        <is>
          <t>Sachet Kraft 100g</t>
        </is>
      </c>
      <c r="I220" s="6" t="inlineStr">
        <is>
          <t>100 g</t>
        </is>
      </c>
      <c r="J220" s="6" t="inlineStr">
        <is>
          <t>NON</t>
        </is>
      </c>
      <c r="K220" s="7" t="inlineStr">
        <is>
          <t>5.5 %</t>
        </is>
      </c>
      <c r="L220" s="8" t="n">
        <v>5.78</v>
      </c>
      <c r="M220" s="9" t="n">
        <v>13.3</v>
      </c>
      <c r="N220" s="10" t="inlineStr">
        <is>
          <t>PROPOSÉ</t>
        </is>
      </c>
      <c r="O220" s="11">
        <f>IF(M220="","",M220-L220)</f>
        <v/>
      </c>
      <c r="P220" s="12">
        <f>IF(OR(M220="",M220=0),"",(M220-L220)/M220)</f>
        <v/>
      </c>
      <c r="Q220" s="13">
        <f>IF(OR(M220="",L220=0,L220=""),"",M220/L220)</f>
        <v/>
      </c>
      <c r="R220" s="11">
        <f>IF(M220="","",M220*1.055)</f>
        <v/>
      </c>
      <c r="S220" s="14" t="n"/>
      <c r="T220" s="15" t="n"/>
    </row>
    <row r="221">
      <c r="A221" s="16" t="inlineStr">
        <is>
          <t>PROD-0233</t>
        </is>
      </c>
      <c r="B221" s="16" t="inlineStr">
        <is>
          <t>Thé vert Rouge aux joues</t>
        </is>
      </c>
      <c r="C221" s="16" t="inlineStr">
        <is>
          <t>BOISSON_SANS_ALCOOL</t>
        </is>
      </c>
      <c r="D221" s="16" t="inlineStr">
        <is>
          <t>THE_ET_INFUSION</t>
        </is>
      </c>
      <c r="E221" s="16" t="inlineStr">
        <is>
          <t>SIGNATURE</t>
        </is>
      </c>
      <c r="F221" s="16" t="inlineStr">
        <is>
          <t>TATASSE</t>
        </is>
      </c>
      <c r="G221" s="16" t="inlineStr">
        <is>
          <t>NORMAND DIRECT TERROIR</t>
        </is>
      </c>
      <c r="H221" s="16" t="inlineStr">
        <is>
          <t>Sachet Kraft 100g</t>
        </is>
      </c>
      <c r="I221" s="16" t="inlineStr">
        <is>
          <t>100 g</t>
        </is>
      </c>
      <c r="J221" s="16" t="inlineStr">
        <is>
          <t>NON</t>
        </is>
      </c>
      <c r="K221" s="17" t="inlineStr">
        <is>
          <t>5.5 %</t>
        </is>
      </c>
      <c r="L221" s="18" t="n">
        <v>5.78</v>
      </c>
      <c r="M221" s="9" t="n">
        <v>13.3</v>
      </c>
      <c r="N221" s="10" t="inlineStr">
        <is>
          <t>PROPOSÉ</t>
        </is>
      </c>
      <c r="O221" s="11">
        <f>IF(M221="","",M221-L221)</f>
        <v/>
      </c>
      <c r="P221" s="12">
        <f>IF(OR(M221="",M221=0),"",(M221-L221)/M221)</f>
        <v/>
      </c>
      <c r="Q221" s="13">
        <f>IF(OR(M221="",L221=0,L221=""),"",M221/L221)</f>
        <v/>
      </c>
      <c r="R221" s="11">
        <f>IF(M221="","",M221*1.055)</f>
        <v/>
      </c>
      <c r="S221" s="14" t="n"/>
      <c r="T221" s="15" t="n"/>
    </row>
    <row r="222">
      <c r="A222" s="6" t="inlineStr">
        <is>
          <t>PROD-0234</t>
        </is>
      </c>
      <c r="B222" s="6" t="inlineStr">
        <is>
          <t>Thé blanc Blanc de poire</t>
        </is>
      </c>
      <c r="C222" s="6" t="inlineStr">
        <is>
          <t>BOISSON_SANS_ALCOOL</t>
        </is>
      </c>
      <c r="D222" s="6" t="inlineStr">
        <is>
          <t>THE_ET_INFUSION</t>
        </is>
      </c>
      <c r="E222" s="6" t="inlineStr">
        <is>
          <t>SIGNATURE</t>
        </is>
      </c>
      <c r="F222" s="6" t="inlineStr">
        <is>
          <t>TATASSE</t>
        </is>
      </c>
      <c r="G222" s="6" t="inlineStr">
        <is>
          <t>NORMAND DIRECT TERROIR</t>
        </is>
      </c>
      <c r="H222" s="6" t="inlineStr">
        <is>
          <t>Sachet Kraft 100g</t>
        </is>
      </c>
      <c r="I222" s="6" t="inlineStr">
        <is>
          <t>100 g</t>
        </is>
      </c>
      <c r="J222" s="6" t="inlineStr">
        <is>
          <t>NON</t>
        </is>
      </c>
      <c r="K222" s="7" t="inlineStr">
        <is>
          <t>5.5 %</t>
        </is>
      </c>
      <c r="L222" s="8" t="n">
        <v>5.78</v>
      </c>
      <c r="M222" s="9" t="n">
        <v>13.3</v>
      </c>
      <c r="N222" s="10" t="inlineStr">
        <is>
          <t>PROPOSÉ</t>
        </is>
      </c>
      <c r="O222" s="11">
        <f>IF(M222="","",M222-L222)</f>
        <v/>
      </c>
      <c r="P222" s="12">
        <f>IF(OR(M222="",M222=0),"",(M222-L222)/M222)</f>
        <v/>
      </c>
      <c r="Q222" s="13">
        <f>IF(OR(M222="",L222=0,L222=""),"",M222/L222)</f>
        <v/>
      </c>
      <c r="R222" s="11">
        <f>IF(M222="","",M222*1.055)</f>
        <v/>
      </c>
      <c r="S222" s="14" t="n"/>
      <c r="T222" s="15" t="n"/>
    </row>
    <row r="223">
      <c r="A223" s="16" t="inlineStr">
        <is>
          <t>PROD-0235</t>
        </is>
      </c>
      <c r="B223" s="16" t="inlineStr">
        <is>
          <t>Thé blanc Tasse des Bois</t>
        </is>
      </c>
      <c r="C223" s="16" t="inlineStr">
        <is>
          <t>BOISSON_SANS_ALCOOL</t>
        </is>
      </c>
      <c r="D223" s="16" t="inlineStr">
        <is>
          <t>THE_ET_INFUSION</t>
        </is>
      </c>
      <c r="E223" s="16" t="inlineStr">
        <is>
          <t>SIGNATURE</t>
        </is>
      </c>
      <c r="F223" s="16" t="inlineStr">
        <is>
          <t>TATASSE</t>
        </is>
      </c>
      <c r="G223" s="16" t="inlineStr">
        <is>
          <t>NORMAND DIRECT TERROIR</t>
        </is>
      </c>
      <c r="H223" s="16" t="inlineStr">
        <is>
          <t>Sachet Kraft 100g</t>
        </is>
      </c>
      <c r="I223" s="16" t="inlineStr">
        <is>
          <t>100 g</t>
        </is>
      </c>
      <c r="J223" s="16" t="inlineStr">
        <is>
          <t>NON</t>
        </is>
      </c>
      <c r="K223" s="17" t="inlineStr">
        <is>
          <t>5.5 %</t>
        </is>
      </c>
      <c r="L223" s="18" t="n">
        <v>5.78</v>
      </c>
      <c r="M223" s="9" t="n">
        <v>13.3</v>
      </c>
      <c r="N223" s="10" t="inlineStr">
        <is>
          <t>PROPOSÉ</t>
        </is>
      </c>
      <c r="O223" s="11">
        <f>IF(M223="","",M223-L223)</f>
        <v/>
      </c>
      <c r="P223" s="12">
        <f>IF(OR(M223="",M223=0),"",(M223-L223)/M223)</f>
        <v/>
      </c>
      <c r="Q223" s="13">
        <f>IF(OR(M223="",L223=0,L223=""),"",M223/L223)</f>
        <v/>
      </c>
      <c r="R223" s="11">
        <f>IF(M223="","",M223*1.055)</f>
        <v/>
      </c>
      <c r="S223" s="14" t="n"/>
      <c r="T223" s="15" t="n"/>
    </row>
    <row r="224">
      <c r="A224" s="6" t="inlineStr">
        <is>
          <t>PROD-0236</t>
        </is>
      </c>
      <c r="B224" s="6" t="inlineStr">
        <is>
          <t>Thé blanc White Sweetness</t>
        </is>
      </c>
      <c r="C224" s="6" t="inlineStr">
        <is>
          <t>BOISSON_SANS_ALCOOL</t>
        </is>
      </c>
      <c r="D224" s="6" t="inlineStr">
        <is>
          <t>THE_ET_INFUSION</t>
        </is>
      </c>
      <c r="E224" s="6" t="inlineStr">
        <is>
          <t>SIGNATURE</t>
        </is>
      </c>
      <c r="F224" s="6" t="inlineStr">
        <is>
          <t>TATASSE</t>
        </is>
      </c>
      <c r="G224" s="6" t="inlineStr">
        <is>
          <t>NORMAND DIRECT TERROIR</t>
        </is>
      </c>
      <c r="H224" s="6" t="inlineStr">
        <is>
          <t>Sachet Kraft 100g</t>
        </is>
      </c>
      <c r="I224" s="6" t="inlineStr">
        <is>
          <t>100 g</t>
        </is>
      </c>
      <c r="J224" s="6" t="inlineStr">
        <is>
          <t>NON</t>
        </is>
      </c>
      <c r="K224" s="7" t="inlineStr">
        <is>
          <t>5.5 %</t>
        </is>
      </c>
      <c r="L224" s="8" t="n">
        <v>5.78</v>
      </c>
      <c r="M224" s="9" t="n">
        <v>13.3</v>
      </c>
      <c r="N224" s="10" t="inlineStr">
        <is>
          <t>PROPOSÉ</t>
        </is>
      </c>
      <c r="O224" s="11">
        <f>IF(M224="","",M224-L224)</f>
        <v/>
      </c>
      <c r="P224" s="12">
        <f>IF(OR(M224="",M224=0),"",(M224-L224)/M224)</f>
        <v/>
      </c>
      <c r="Q224" s="13">
        <f>IF(OR(M224="",L224=0,L224=""),"",M224/L224)</f>
        <v/>
      </c>
      <c r="R224" s="11">
        <f>IF(M224="","",M224*1.055)</f>
        <v/>
      </c>
      <c r="S224" s="14" t="n"/>
      <c r="T224" s="15" t="n"/>
    </row>
    <row r="225">
      <c r="A225" s="16" t="inlineStr">
        <is>
          <t>PROD-0237</t>
        </is>
      </c>
      <c r="B225" s="16" t="inlineStr">
        <is>
          <t>Tisane Bien être Stop Migraine</t>
        </is>
      </c>
      <c r="C225" s="16" t="inlineStr">
        <is>
          <t>BOISSON_SANS_ALCOOL</t>
        </is>
      </c>
      <c r="D225" s="16" t="inlineStr">
        <is>
          <t>THE_ET_INFUSION</t>
        </is>
      </c>
      <c r="E225" s="16" t="inlineStr">
        <is>
          <t>SIGNATURE</t>
        </is>
      </c>
      <c r="F225" s="16" t="inlineStr">
        <is>
          <t>TATASSE</t>
        </is>
      </c>
      <c r="G225" s="16" t="inlineStr">
        <is>
          <t>NORMAND DIRECT TERROIR</t>
        </is>
      </c>
      <c r="H225" s="16" t="inlineStr">
        <is>
          <t>Sachet Kraft 100g</t>
        </is>
      </c>
      <c r="I225" s="16" t="inlineStr">
        <is>
          <t>100 g</t>
        </is>
      </c>
      <c r="J225" s="16" t="inlineStr">
        <is>
          <t>NON</t>
        </is>
      </c>
      <c r="K225" s="17" t="inlineStr">
        <is>
          <t>5.5 %</t>
        </is>
      </c>
      <c r="L225" s="18" t="n">
        <v>5.78</v>
      </c>
      <c r="M225" s="9" t="n">
        <v>13.3</v>
      </c>
      <c r="N225" s="10" t="inlineStr">
        <is>
          <t>PROPOSÉ</t>
        </is>
      </c>
      <c r="O225" s="11">
        <f>IF(M225="","",M225-L225)</f>
        <v/>
      </c>
      <c r="P225" s="12">
        <f>IF(OR(M225="",M225=0),"",(M225-L225)/M225)</f>
        <v/>
      </c>
      <c r="Q225" s="13">
        <f>IF(OR(M225="",L225=0,L225=""),"",M225/L225)</f>
        <v/>
      </c>
      <c r="R225" s="11">
        <f>IF(M225="","",M225*1.055)</f>
        <v/>
      </c>
      <c r="S225" s="14" t="n"/>
      <c r="T225" s="15" t="n"/>
    </row>
    <row r="226">
      <c r="A226" s="6" t="inlineStr">
        <is>
          <t>PROD-0238</t>
        </is>
      </c>
      <c r="B226" s="6" t="inlineStr">
        <is>
          <t>Tisane Bien être Digest Cup</t>
        </is>
      </c>
      <c r="C226" s="6" t="inlineStr">
        <is>
          <t>BOISSON_SANS_ALCOOL</t>
        </is>
      </c>
      <c r="D226" s="6" t="inlineStr">
        <is>
          <t>THE_ET_INFUSION</t>
        </is>
      </c>
      <c r="E226" s="6" t="inlineStr">
        <is>
          <t>SIGNATURE</t>
        </is>
      </c>
      <c r="F226" s="6" t="inlineStr">
        <is>
          <t>TATASSE</t>
        </is>
      </c>
      <c r="G226" s="6" t="inlineStr">
        <is>
          <t>NORMAND DIRECT TERROIR</t>
        </is>
      </c>
      <c r="H226" s="6" t="inlineStr">
        <is>
          <t>Sachet Kraft 100g</t>
        </is>
      </c>
      <c r="I226" s="6" t="inlineStr">
        <is>
          <t>100 g</t>
        </is>
      </c>
      <c r="J226" s="6" t="inlineStr">
        <is>
          <t>NON</t>
        </is>
      </c>
      <c r="K226" s="7" t="inlineStr">
        <is>
          <t>5.5 %</t>
        </is>
      </c>
      <c r="L226" s="8" t="n">
        <v>5.78</v>
      </c>
      <c r="M226" s="9" t="n">
        <v>13.3</v>
      </c>
      <c r="N226" s="10" t="inlineStr">
        <is>
          <t>PROPOSÉ</t>
        </is>
      </c>
      <c r="O226" s="11">
        <f>IF(M226="","",M226-L226)</f>
        <v/>
      </c>
      <c r="P226" s="12">
        <f>IF(OR(M226="",M226=0),"",(M226-L226)/M226)</f>
        <v/>
      </c>
      <c r="Q226" s="13">
        <f>IF(OR(M226="",L226=0,L226=""),"",M226/L226)</f>
        <v/>
      </c>
      <c r="R226" s="11">
        <f>IF(M226="","",M226*1.055)</f>
        <v/>
      </c>
      <c r="S226" s="14" t="n"/>
      <c r="T226" s="15" t="n"/>
    </row>
    <row r="227">
      <c r="A227" s="16" t="inlineStr">
        <is>
          <t>PROD-0239</t>
        </is>
      </c>
      <c r="B227" s="16" t="inlineStr">
        <is>
          <t>Tisane Bien être Oust le rhume</t>
        </is>
      </c>
      <c r="C227" s="16" t="inlineStr">
        <is>
          <t>BOISSON_SANS_ALCOOL</t>
        </is>
      </c>
      <c r="D227" s="16" t="inlineStr">
        <is>
          <t>THE_ET_INFUSION</t>
        </is>
      </c>
      <c r="E227" s="16" t="inlineStr">
        <is>
          <t>SIGNATURE</t>
        </is>
      </c>
      <c r="F227" s="16" t="inlineStr">
        <is>
          <t>TATASSE</t>
        </is>
      </c>
      <c r="G227" s="16" t="inlineStr">
        <is>
          <t>NORMAND DIRECT TERROIR</t>
        </is>
      </c>
      <c r="H227" s="16" t="inlineStr">
        <is>
          <t>Sachet Kraft 100g</t>
        </is>
      </c>
      <c r="I227" s="16" t="inlineStr">
        <is>
          <t>100 g</t>
        </is>
      </c>
      <c r="J227" s="16" t="inlineStr">
        <is>
          <t>NON</t>
        </is>
      </c>
      <c r="K227" s="17" t="inlineStr">
        <is>
          <t>5.5 %</t>
        </is>
      </c>
      <c r="L227" s="18" t="n">
        <v>5.78</v>
      </c>
      <c r="M227" s="9" t="n">
        <v>13.3</v>
      </c>
      <c r="N227" s="10" t="inlineStr">
        <is>
          <t>PROPOSÉ</t>
        </is>
      </c>
      <c r="O227" s="11">
        <f>IF(M227="","",M227-L227)</f>
        <v/>
      </c>
      <c r="P227" s="12">
        <f>IF(OR(M227="",M227=0),"",(M227-L227)/M227)</f>
        <v/>
      </c>
      <c r="Q227" s="13">
        <f>IF(OR(M227="",L227=0,L227=""),"",M227/L227)</f>
        <v/>
      </c>
      <c r="R227" s="11">
        <f>IF(M227="","",M227*1.055)</f>
        <v/>
      </c>
      <c r="S227" s="14" t="n"/>
      <c r="T227" s="15" t="n"/>
    </row>
    <row r="228">
      <c r="A228" s="6" t="inlineStr">
        <is>
          <t>PROD-0240</t>
        </is>
      </c>
      <c r="B228" s="6" t="inlineStr">
        <is>
          <t>Tisane Bien être Punch Power</t>
        </is>
      </c>
      <c r="C228" s="6" t="inlineStr">
        <is>
          <t>BOISSON_SANS_ALCOOL</t>
        </is>
      </c>
      <c r="D228" s="6" t="inlineStr">
        <is>
          <t>THE_ET_INFUSION</t>
        </is>
      </c>
      <c r="E228" s="6" t="inlineStr">
        <is>
          <t>SIGNATURE</t>
        </is>
      </c>
      <c r="F228" s="6" t="inlineStr">
        <is>
          <t>TATASSE</t>
        </is>
      </c>
      <c r="G228" s="6" t="inlineStr">
        <is>
          <t>NORMAND DIRECT TERROIR</t>
        </is>
      </c>
      <c r="H228" s="6" t="inlineStr">
        <is>
          <t>Sachet Kraft 100g</t>
        </is>
      </c>
      <c r="I228" s="6" t="inlineStr">
        <is>
          <t>100 g</t>
        </is>
      </c>
      <c r="J228" s="6" t="inlineStr">
        <is>
          <t>NON</t>
        </is>
      </c>
      <c r="K228" s="7" t="inlineStr">
        <is>
          <t>5.5 %</t>
        </is>
      </c>
      <c r="L228" s="8" t="n">
        <v>5.78</v>
      </c>
      <c r="M228" s="9" t="n">
        <v>13.3</v>
      </c>
      <c r="N228" s="10" t="inlineStr">
        <is>
          <t>PROPOSÉ</t>
        </is>
      </c>
      <c r="O228" s="11">
        <f>IF(M228="","",M228-L228)</f>
        <v/>
      </c>
      <c r="P228" s="12">
        <f>IF(OR(M228="",M228=0),"",(M228-L228)/M228)</f>
        <v/>
      </c>
      <c r="Q228" s="13">
        <f>IF(OR(M228="",L228=0,L228=""),"",M228/L228)</f>
        <v/>
      </c>
      <c r="R228" s="11">
        <f>IF(M228="","",M228*1.055)</f>
        <v/>
      </c>
      <c r="S228" s="14" t="n"/>
      <c r="T228" s="15" t="n"/>
    </row>
    <row r="229">
      <c r="A229" s="16" t="inlineStr">
        <is>
          <t>PROD-0241</t>
        </is>
      </c>
      <c r="B229" s="16" t="inlineStr">
        <is>
          <t>Tisane Bien être SO Quiet</t>
        </is>
      </c>
      <c r="C229" s="16" t="inlineStr">
        <is>
          <t>BOISSON_SANS_ALCOOL</t>
        </is>
      </c>
      <c r="D229" s="16" t="inlineStr">
        <is>
          <t>THE_ET_INFUSION</t>
        </is>
      </c>
      <c r="E229" s="16" t="inlineStr">
        <is>
          <t>SIGNATURE</t>
        </is>
      </c>
      <c r="F229" s="16" t="inlineStr">
        <is>
          <t>TATASSE</t>
        </is>
      </c>
      <c r="G229" s="16" t="inlineStr">
        <is>
          <t>NORMAND DIRECT TERROIR</t>
        </is>
      </c>
      <c r="H229" s="16" t="inlineStr">
        <is>
          <t>Sachet Kraft 100g</t>
        </is>
      </c>
      <c r="I229" s="16" t="inlineStr">
        <is>
          <t>100 g</t>
        </is>
      </c>
      <c r="J229" s="16" t="inlineStr">
        <is>
          <t>NON</t>
        </is>
      </c>
      <c r="K229" s="17" t="inlineStr">
        <is>
          <t>5.5 %</t>
        </is>
      </c>
      <c r="L229" s="18" t="n">
        <v>5.78</v>
      </c>
      <c r="M229" s="9" t="n">
        <v>13.3</v>
      </c>
      <c r="N229" s="10" t="inlineStr">
        <is>
          <t>PROPOSÉ</t>
        </is>
      </c>
      <c r="O229" s="11">
        <f>IF(M229="","",M229-L229)</f>
        <v/>
      </c>
      <c r="P229" s="12">
        <f>IF(OR(M229="",M229=0),"",(M229-L229)/M229)</f>
        <v/>
      </c>
      <c r="Q229" s="13">
        <f>IF(OR(M229="",L229=0,L229=""),"",M229/L229)</f>
        <v/>
      </c>
      <c r="R229" s="11">
        <f>IF(M229="","",M229*1.055)</f>
        <v/>
      </c>
      <c r="S229" s="14" t="n"/>
      <c r="T229" s="15" t="n"/>
    </row>
    <row r="230">
      <c r="A230" s="6" t="inlineStr">
        <is>
          <t>PROD-0242</t>
        </is>
      </c>
      <c r="B230" s="6" t="inlineStr">
        <is>
          <t>Tisane fruitée La Reine encahntée</t>
        </is>
      </c>
      <c r="C230" s="6" t="inlineStr">
        <is>
          <t>BOISSON_SANS_ALCOOL</t>
        </is>
      </c>
      <c r="D230" s="6" t="inlineStr">
        <is>
          <t>THE_ET_INFUSION</t>
        </is>
      </c>
      <c r="E230" s="6" t="inlineStr">
        <is>
          <t>SIGNATURE</t>
        </is>
      </c>
      <c r="F230" s="6" t="inlineStr">
        <is>
          <t>TATASSE</t>
        </is>
      </c>
      <c r="G230" s="6" t="inlineStr">
        <is>
          <t>NORMAND DIRECT TERROIR</t>
        </is>
      </c>
      <c r="H230" s="6" t="inlineStr">
        <is>
          <t>Sachet Kraft 100g</t>
        </is>
      </c>
      <c r="I230" s="6" t="inlineStr">
        <is>
          <t>100 g</t>
        </is>
      </c>
      <c r="J230" s="6" t="inlineStr">
        <is>
          <t>NON</t>
        </is>
      </c>
      <c r="K230" s="7" t="inlineStr">
        <is>
          <t>5.5 %</t>
        </is>
      </c>
      <c r="L230" s="8" t="n">
        <v>5.78</v>
      </c>
      <c r="M230" s="9" t="n">
        <v>13.3</v>
      </c>
      <c r="N230" s="10" t="inlineStr">
        <is>
          <t>PROPOSÉ</t>
        </is>
      </c>
      <c r="O230" s="11">
        <f>IF(M230="","",M230-L230)</f>
        <v/>
      </c>
      <c r="P230" s="12">
        <f>IF(OR(M230="",M230=0),"",(M230-L230)/M230)</f>
        <v/>
      </c>
      <c r="Q230" s="13">
        <f>IF(OR(M230="",L230=0,L230=""),"",M230/L230)</f>
        <v/>
      </c>
      <c r="R230" s="11">
        <f>IF(M230="","",M230*1.055)</f>
        <v/>
      </c>
      <c r="S230" s="14" t="n"/>
      <c r="T230" s="15" t="n"/>
    </row>
    <row r="231">
      <c r="A231" s="16" t="inlineStr">
        <is>
          <t>PROD-0243</t>
        </is>
      </c>
      <c r="B231" s="16" t="inlineStr">
        <is>
          <t>Tisane fruitée Sorbet Exotique</t>
        </is>
      </c>
      <c r="C231" s="16" t="inlineStr">
        <is>
          <t>BOISSON_SANS_ALCOOL</t>
        </is>
      </c>
      <c r="D231" s="16" t="inlineStr">
        <is>
          <t>THE_ET_INFUSION</t>
        </is>
      </c>
      <c r="E231" s="16" t="inlineStr">
        <is>
          <t>SIGNATURE</t>
        </is>
      </c>
      <c r="F231" s="16" t="inlineStr">
        <is>
          <t>TATASSE</t>
        </is>
      </c>
      <c r="G231" s="16" t="inlineStr">
        <is>
          <t>NORMAND DIRECT TERROIR</t>
        </is>
      </c>
      <c r="H231" s="16" t="inlineStr">
        <is>
          <t>Sachet Kraft 100g</t>
        </is>
      </c>
      <c r="I231" s="16" t="inlineStr">
        <is>
          <t>100 g</t>
        </is>
      </c>
      <c r="J231" s="16" t="inlineStr">
        <is>
          <t>NON</t>
        </is>
      </c>
      <c r="K231" s="17" t="inlineStr">
        <is>
          <t>5.5 %</t>
        </is>
      </c>
      <c r="L231" s="18" t="n">
        <v>5.78</v>
      </c>
      <c r="M231" s="9" t="n">
        <v>13.3</v>
      </c>
      <c r="N231" s="10" t="inlineStr">
        <is>
          <t>PROPOSÉ</t>
        </is>
      </c>
      <c r="O231" s="11">
        <f>IF(M231="","",M231-L231)</f>
        <v/>
      </c>
      <c r="P231" s="12">
        <f>IF(OR(M231="",M231=0),"",(M231-L231)/M231)</f>
        <v/>
      </c>
      <c r="Q231" s="13">
        <f>IF(OR(M231="",L231=0,L231=""),"",M231/L231)</f>
        <v/>
      </c>
      <c r="R231" s="11">
        <f>IF(M231="","",M231*1.055)</f>
        <v/>
      </c>
      <c r="S231" s="14" t="n"/>
      <c r="T231" s="15" t="n"/>
    </row>
    <row r="232">
      <c r="A232" s="6" t="inlineStr">
        <is>
          <t>PROD-0244</t>
        </is>
      </c>
      <c r="B232" s="6" t="inlineStr">
        <is>
          <t>Tisane fruitée La Dame de cœur</t>
        </is>
      </c>
      <c r="C232" s="6" t="inlineStr">
        <is>
          <t>BOISSON_SANS_ALCOOL</t>
        </is>
      </c>
      <c r="D232" s="6" t="inlineStr">
        <is>
          <t>THE_ET_INFUSION</t>
        </is>
      </c>
      <c r="E232" s="6" t="inlineStr">
        <is>
          <t>SIGNATURE</t>
        </is>
      </c>
      <c r="F232" s="6" t="inlineStr">
        <is>
          <t>TATASSE</t>
        </is>
      </c>
      <c r="G232" s="6" t="inlineStr">
        <is>
          <t>NORMAND DIRECT TERROIR</t>
        </is>
      </c>
      <c r="H232" s="6" t="inlineStr">
        <is>
          <t>Sachet Kraft 100g</t>
        </is>
      </c>
      <c r="I232" s="6" t="inlineStr">
        <is>
          <t>100 g</t>
        </is>
      </c>
      <c r="J232" s="6" t="inlineStr">
        <is>
          <t>NON</t>
        </is>
      </c>
      <c r="K232" s="7" t="inlineStr">
        <is>
          <t>5.5 %</t>
        </is>
      </c>
      <c r="L232" s="8" t="n">
        <v>5.78</v>
      </c>
      <c r="M232" s="9" t="n">
        <v>13.3</v>
      </c>
      <c r="N232" s="10" t="inlineStr">
        <is>
          <t>PROPOSÉ</t>
        </is>
      </c>
      <c r="O232" s="11">
        <f>IF(M232="","",M232-L232)</f>
        <v/>
      </c>
      <c r="P232" s="12">
        <f>IF(OR(M232="",M232=0),"",(M232-L232)/M232)</f>
        <v/>
      </c>
      <c r="Q232" s="13">
        <f>IF(OR(M232="",L232=0,L232=""),"",M232/L232)</f>
        <v/>
      </c>
      <c r="R232" s="11">
        <f>IF(M232="","",M232*1.055)</f>
        <v/>
      </c>
      <c r="S232" s="14" t="n"/>
      <c r="T232" s="15" t="n"/>
    </row>
    <row r="233">
      <c r="A233" s="16" t="inlineStr">
        <is>
          <t>PROD-0245</t>
        </is>
      </c>
      <c r="B233" s="16" t="inlineStr">
        <is>
          <t>Detox Jeune et jolie</t>
        </is>
      </c>
      <c r="C233" s="16" t="inlineStr">
        <is>
          <t>BOISSON_SANS_ALCOOL</t>
        </is>
      </c>
      <c r="D233" s="16" t="inlineStr">
        <is>
          <t>THE_ET_INFUSION</t>
        </is>
      </c>
      <c r="E233" s="16" t="inlineStr">
        <is>
          <t>SIGNATURE</t>
        </is>
      </c>
      <c r="F233" s="16" t="inlineStr">
        <is>
          <t>TATASSE</t>
        </is>
      </c>
      <c r="G233" s="16" t="inlineStr">
        <is>
          <t>NORMAND DIRECT TERROIR</t>
        </is>
      </c>
      <c r="H233" s="16" t="inlineStr">
        <is>
          <t>Sachet Kraft 100g</t>
        </is>
      </c>
      <c r="I233" s="16" t="inlineStr">
        <is>
          <t>100 g</t>
        </is>
      </c>
      <c r="J233" s="16" t="inlineStr">
        <is>
          <t>NON</t>
        </is>
      </c>
      <c r="K233" s="17" t="inlineStr">
        <is>
          <t>5.5 %</t>
        </is>
      </c>
      <c r="L233" s="18" t="n">
        <v>5.78</v>
      </c>
      <c r="M233" s="9" t="n">
        <v>13.3</v>
      </c>
      <c r="N233" s="10" t="inlineStr">
        <is>
          <t>PROPOSÉ</t>
        </is>
      </c>
      <c r="O233" s="11">
        <f>IF(M233="","",M233-L233)</f>
        <v/>
      </c>
      <c r="P233" s="12">
        <f>IF(OR(M233="",M233=0),"",(M233-L233)/M233)</f>
        <v/>
      </c>
      <c r="Q233" s="13">
        <f>IF(OR(M233="",L233=0,L233=""),"",M233/L233)</f>
        <v/>
      </c>
      <c r="R233" s="11">
        <f>IF(M233="","",M233*1.055)</f>
        <v/>
      </c>
      <c r="S233" s="14" t="n"/>
      <c r="T233" s="15" t="n"/>
    </row>
    <row r="234">
      <c r="A234" s="6" t="inlineStr">
        <is>
          <t>PROD-0246</t>
        </is>
      </c>
      <c r="B234" s="6" t="inlineStr">
        <is>
          <t>Detox Beau Teint</t>
        </is>
      </c>
      <c r="C234" s="6" t="inlineStr">
        <is>
          <t>BOISSON_SANS_ALCOOL</t>
        </is>
      </c>
      <c r="D234" s="6" t="inlineStr">
        <is>
          <t>THE_ET_INFUSION</t>
        </is>
      </c>
      <c r="E234" s="6" t="inlineStr">
        <is>
          <t>SIGNATURE</t>
        </is>
      </c>
      <c r="F234" s="6" t="inlineStr">
        <is>
          <t>TATASSE</t>
        </is>
      </c>
      <c r="G234" s="6" t="inlineStr">
        <is>
          <t>NORMAND DIRECT TERROIR</t>
        </is>
      </c>
      <c r="H234" s="6" t="inlineStr">
        <is>
          <t>Sachet Kraft 100g</t>
        </is>
      </c>
      <c r="I234" s="6" t="inlineStr">
        <is>
          <t>100 g</t>
        </is>
      </c>
      <c r="J234" s="6" t="inlineStr">
        <is>
          <t>NON</t>
        </is>
      </c>
      <c r="K234" s="7" t="inlineStr">
        <is>
          <t>5.5 %</t>
        </is>
      </c>
      <c r="L234" s="8" t="n">
        <v>5.78</v>
      </c>
      <c r="M234" s="9" t="n">
        <v>13.3</v>
      </c>
      <c r="N234" s="10" t="inlineStr">
        <is>
          <t>PROPOSÉ</t>
        </is>
      </c>
      <c r="O234" s="11">
        <f>IF(M234="","",M234-L234)</f>
        <v/>
      </c>
      <c r="P234" s="12">
        <f>IF(OR(M234="",M234=0),"",(M234-L234)/M234)</f>
        <v/>
      </c>
      <c r="Q234" s="13">
        <f>IF(OR(M234="",L234=0,L234=""),"",M234/L234)</f>
        <v/>
      </c>
      <c r="R234" s="11">
        <f>IF(M234="","",M234*1.055)</f>
        <v/>
      </c>
      <c r="S234" s="14" t="n"/>
      <c r="T234" s="15" t="n"/>
    </row>
    <row r="235">
      <c r="A235" s="16" t="inlineStr">
        <is>
          <t>PROD-0247</t>
        </is>
      </c>
      <c r="B235" s="16" t="inlineStr">
        <is>
          <t>Detox Chill Time</t>
        </is>
      </c>
      <c r="C235" s="16" t="inlineStr">
        <is>
          <t>BOISSON_SANS_ALCOOL</t>
        </is>
      </c>
      <c r="D235" s="16" t="inlineStr">
        <is>
          <t>THE_ET_INFUSION</t>
        </is>
      </c>
      <c r="E235" s="16" t="inlineStr">
        <is>
          <t>SIGNATURE</t>
        </is>
      </c>
      <c r="F235" s="16" t="inlineStr">
        <is>
          <t>TATASSE</t>
        </is>
      </c>
      <c r="G235" s="16" t="inlineStr">
        <is>
          <t>NORMAND DIRECT TERROIR</t>
        </is>
      </c>
      <c r="H235" s="16" t="inlineStr">
        <is>
          <t>Sachet Kraft 100g</t>
        </is>
      </c>
      <c r="I235" s="16" t="inlineStr">
        <is>
          <t>100 g</t>
        </is>
      </c>
      <c r="J235" s="16" t="inlineStr">
        <is>
          <t>NON</t>
        </is>
      </c>
      <c r="K235" s="17" t="inlineStr">
        <is>
          <t>5.5 %</t>
        </is>
      </c>
      <c r="L235" s="18" t="n">
        <v>5.78</v>
      </c>
      <c r="M235" s="9" t="n">
        <v>13.3</v>
      </c>
      <c r="N235" s="10" t="inlineStr">
        <is>
          <t>PROPOSÉ</t>
        </is>
      </c>
      <c r="O235" s="11">
        <f>IF(M235="","",M235-L235)</f>
        <v/>
      </c>
      <c r="P235" s="12">
        <f>IF(OR(M235="",M235=0),"",(M235-L235)/M235)</f>
        <v/>
      </c>
      <c r="Q235" s="13">
        <f>IF(OR(M235="",L235=0,L235=""),"",M235/L235)</f>
        <v/>
      </c>
      <c r="R235" s="11">
        <f>IF(M235="","",M235*1.055)</f>
        <v/>
      </c>
      <c r="S235" s="14" t="n"/>
      <c r="T235" s="15" t="n"/>
    </row>
    <row r="236">
      <c r="A236" s="6" t="inlineStr">
        <is>
          <t>PROD-0248</t>
        </is>
      </c>
      <c r="B236" s="6" t="inlineStr">
        <is>
          <t>Maté KA'MATE KA'MATE</t>
        </is>
      </c>
      <c r="C236" s="6" t="inlineStr">
        <is>
          <t>BOISSON_SANS_ALCOOL</t>
        </is>
      </c>
      <c r="D236" s="6" t="inlineStr">
        <is>
          <t>THE_ET_INFUSION</t>
        </is>
      </c>
      <c r="E236" s="6" t="inlineStr">
        <is>
          <t>SIGNATURE</t>
        </is>
      </c>
      <c r="F236" s="6" t="inlineStr">
        <is>
          <t>TATASSE</t>
        </is>
      </c>
      <c r="G236" s="6" t="inlineStr">
        <is>
          <t>NORMAND DIRECT TERROIR</t>
        </is>
      </c>
      <c r="H236" s="6" t="inlineStr">
        <is>
          <t>Sachet Kraft 100g</t>
        </is>
      </c>
      <c r="I236" s="6" t="inlineStr">
        <is>
          <t>100 g</t>
        </is>
      </c>
      <c r="J236" s="6" t="inlineStr">
        <is>
          <t>NON</t>
        </is>
      </c>
      <c r="K236" s="7" t="inlineStr">
        <is>
          <t>5.5 %</t>
        </is>
      </c>
      <c r="L236" s="8" t="n">
        <v>5.78</v>
      </c>
      <c r="M236" s="9" t="n">
        <v>13.3</v>
      </c>
      <c r="N236" s="10" t="inlineStr">
        <is>
          <t>PROPOSÉ</t>
        </is>
      </c>
      <c r="O236" s="11">
        <f>IF(M236="","",M236-L236)</f>
        <v/>
      </c>
      <c r="P236" s="12">
        <f>IF(OR(M236="",M236=0),"",(M236-L236)/M236)</f>
        <v/>
      </c>
      <c r="Q236" s="13">
        <f>IF(OR(M236="",L236=0,L236=""),"",M236/L236)</f>
        <v/>
      </c>
      <c r="R236" s="11">
        <f>IF(M236="","",M236*1.055)</f>
        <v/>
      </c>
      <c r="S236" s="14" t="n"/>
      <c r="T236" s="15" t="n"/>
    </row>
    <row r="237">
      <c r="A237" s="16" t="inlineStr">
        <is>
          <t>PROD-0249</t>
        </is>
      </c>
      <c r="B237" s="16" t="inlineStr">
        <is>
          <t>Maté Balance</t>
        </is>
      </c>
      <c r="C237" s="16" t="inlineStr">
        <is>
          <t>BOISSON_SANS_ALCOOL</t>
        </is>
      </c>
      <c r="D237" s="16" t="inlineStr">
        <is>
          <t>THE_ET_INFUSION</t>
        </is>
      </c>
      <c r="E237" s="16" t="inlineStr">
        <is>
          <t>SIGNATURE</t>
        </is>
      </c>
      <c r="F237" s="16" t="inlineStr">
        <is>
          <t>TATASSE</t>
        </is>
      </c>
      <c r="G237" s="16" t="inlineStr">
        <is>
          <t>NORMAND DIRECT TERROIR</t>
        </is>
      </c>
      <c r="H237" s="16" t="inlineStr">
        <is>
          <t>Sachet Kraft 100g</t>
        </is>
      </c>
      <c r="I237" s="16" t="inlineStr">
        <is>
          <t>100 g</t>
        </is>
      </c>
      <c r="J237" s="16" t="inlineStr">
        <is>
          <t>NON</t>
        </is>
      </c>
      <c r="K237" s="17" t="inlineStr">
        <is>
          <t>5.5 %</t>
        </is>
      </c>
      <c r="L237" s="18" t="n">
        <v>5.78</v>
      </c>
      <c r="M237" s="9" t="n">
        <v>13.3</v>
      </c>
      <c r="N237" s="10" t="inlineStr">
        <is>
          <t>PROPOSÉ</t>
        </is>
      </c>
      <c r="O237" s="11">
        <f>IF(M237="","",M237-L237)</f>
        <v/>
      </c>
      <c r="P237" s="12">
        <f>IF(OR(M237="",M237=0),"",(M237-L237)/M237)</f>
        <v/>
      </c>
      <c r="Q237" s="13">
        <f>IF(OR(M237="",L237=0,L237=""),"",M237/L237)</f>
        <v/>
      </c>
      <c r="R237" s="11">
        <f>IF(M237="","",M237*1.055)</f>
        <v/>
      </c>
      <c r="S237" s="14" t="n"/>
      <c r="T237" s="15" t="n"/>
    </row>
    <row r="238">
      <c r="A238" s="6" t="inlineStr">
        <is>
          <t>PROD-0250</t>
        </is>
      </c>
      <c r="B238" s="6" t="inlineStr">
        <is>
          <t>Maternité Divine Mama</t>
        </is>
      </c>
      <c r="C238" s="6" t="inlineStr">
        <is>
          <t>BOISSON_SANS_ALCOOL</t>
        </is>
      </c>
      <c r="D238" s="6" t="inlineStr">
        <is>
          <t>THE_ET_INFUSION</t>
        </is>
      </c>
      <c r="E238" s="6" t="inlineStr">
        <is>
          <t>SIGNATURE</t>
        </is>
      </c>
      <c r="F238" s="6" t="inlineStr">
        <is>
          <t>TATASSE</t>
        </is>
      </c>
      <c r="G238" s="6" t="inlineStr">
        <is>
          <t>NORMAND DIRECT TERROIR</t>
        </is>
      </c>
      <c r="H238" s="6" t="inlineStr">
        <is>
          <t>Sachet Kraft 100g</t>
        </is>
      </c>
      <c r="I238" s="6" t="inlineStr">
        <is>
          <t>100 g</t>
        </is>
      </c>
      <c r="J238" s="6" t="inlineStr">
        <is>
          <t>NON</t>
        </is>
      </c>
      <c r="K238" s="7" t="inlineStr">
        <is>
          <t>5.5 %</t>
        </is>
      </c>
      <c r="L238" s="8" t="n">
        <v>5.78</v>
      </c>
      <c r="M238" s="9" t="n">
        <v>13.3</v>
      </c>
      <c r="N238" s="10" t="inlineStr">
        <is>
          <t>PROPOSÉ</t>
        </is>
      </c>
      <c r="O238" s="11">
        <f>IF(M238="","",M238-L238)</f>
        <v/>
      </c>
      <c r="P238" s="12">
        <f>IF(OR(M238="",M238=0),"",(M238-L238)/M238)</f>
        <v/>
      </c>
      <c r="Q238" s="13">
        <f>IF(OR(M238="",L238=0,L238=""),"",M238/L238)</f>
        <v/>
      </c>
      <c r="R238" s="11">
        <f>IF(M238="","",M238*1.055)</f>
        <v/>
      </c>
      <c r="S238" s="14" t="n"/>
      <c r="T238" s="15" t="n"/>
    </row>
    <row r="239">
      <c r="A239" s="16" t="inlineStr">
        <is>
          <t>PROD-0251</t>
        </is>
      </c>
      <c r="B239" s="16" t="inlineStr">
        <is>
          <t>Maternité Voie Lactée</t>
        </is>
      </c>
      <c r="C239" s="16" t="inlineStr">
        <is>
          <t>BOISSON_SANS_ALCOOL</t>
        </is>
      </c>
      <c r="D239" s="16" t="inlineStr">
        <is>
          <t>THE_ET_INFUSION</t>
        </is>
      </c>
      <c r="E239" s="16" t="inlineStr">
        <is>
          <t>SIGNATURE</t>
        </is>
      </c>
      <c r="F239" s="16" t="inlineStr">
        <is>
          <t>TATASSE</t>
        </is>
      </c>
      <c r="G239" s="16" t="inlineStr">
        <is>
          <t>NORMAND DIRECT TERROIR</t>
        </is>
      </c>
      <c r="H239" s="16" t="inlineStr">
        <is>
          <t>Sachet Kraft 100g</t>
        </is>
      </c>
      <c r="I239" s="16" t="inlineStr">
        <is>
          <t>100 g</t>
        </is>
      </c>
      <c r="J239" s="16" t="inlineStr">
        <is>
          <t>NON</t>
        </is>
      </c>
      <c r="K239" s="17" t="inlineStr">
        <is>
          <t>5.5 %</t>
        </is>
      </c>
      <c r="L239" s="18" t="n">
        <v>5.78</v>
      </c>
      <c r="M239" s="9" t="n">
        <v>13.3</v>
      </c>
      <c r="N239" s="10" t="inlineStr">
        <is>
          <t>PROPOSÉ</t>
        </is>
      </c>
      <c r="O239" s="11">
        <f>IF(M239="","",M239-L239)</f>
        <v/>
      </c>
      <c r="P239" s="12">
        <f>IF(OR(M239="",M239=0),"",(M239-L239)/M239)</f>
        <v/>
      </c>
      <c r="Q239" s="13">
        <f>IF(OR(M239="",L239=0,L239=""),"",M239/L239)</f>
        <v/>
      </c>
      <c r="R239" s="11">
        <f>IF(M239="","",M239*1.055)</f>
        <v/>
      </c>
      <c r="S239" s="14" t="n"/>
      <c r="T239" s="15" t="n"/>
    </row>
    <row r="240">
      <c r="A240" s="6" t="inlineStr">
        <is>
          <t>PROD-0252</t>
        </is>
      </c>
      <c r="B240" s="6" t="inlineStr">
        <is>
          <t>Rooibos Lemon Curd</t>
        </is>
      </c>
      <c r="C240" s="6" t="inlineStr">
        <is>
          <t>BOISSON_SANS_ALCOOL</t>
        </is>
      </c>
      <c r="D240" s="6" t="inlineStr">
        <is>
          <t>THE_ET_INFUSION</t>
        </is>
      </c>
      <c r="E240" s="6" t="inlineStr">
        <is>
          <t>SIGNATURE</t>
        </is>
      </c>
      <c r="F240" s="6" t="inlineStr">
        <is>
          <t>TATASSE</t>
        </is>
      </c>
      <c r="G240" s="6" t="inlineStr">
        <is>
          <t>NORMAND DIRECT TERROIR</t>
        </is>
      </c>
      <c r="H240" s="6" t="inlineStr">
        <is>
          <t>Sachet Kraft 100g</t>
        </is>
      </c>
      <c r="I240" s="6" t="inlineStr">
        <is>
          <t>100 g</t>
        </is>
      </c>
      <c r="J240" s="6" t="inlineStr">
        <is>
          <t>NON</t>
        </is>
      </c>
      <c r="K240" s="7" t="inlineStr">
        <is>
          <t>5.5 %</t>
        </is>
      </c>
      <c r="L240" s="8" t="n">
        <v>5.78</v>
      </c>
      <c r="M240" s="9" t="n">
        <v>13.3</v>
      </c>
      <c r="N240" s="10" t="inlineStr">
        <is>
          <t>PROPOSÉ</t>
        </is>
      </c>
      <c r="O240" s="11">
        <f>IF(M240="","",M240-L240)</f>
        <v/>
      </c>
      <c r="P240" s="12">
        <f>IF(OR(M240="",M240=0),"",(M240-L240)/M240)</f>
        <v/>
      </c>
      <c r="Q240" s="13">
        <f>IF(OR(M240="",L240=0,L240=""),"",M240/L240)</f>
        <v/>
      </c>
      <c r="R240" s="11">
        <f>IF(M240="","",M240*1.055)</f>
        <v/>
      </c>
      <c r="S240" s="14" t="n"/>
      <c r="T240" s="15" t="n"/>
    </row>
    <row r="241">
      <c r="A241" s="16" t="inlineStr">
        <is>
          <t>PROD-0253</t>
        </is>
      </c>
      <c r="B241" s="16" t="inlineStr">
        <is>
          <t>Rooibos Cheri Coco</t>
        </is>
      </c>
      <c r="C241" s="16" t="inlineStr">
        <is>
          <t>BOISSON_SANS_ALCOOL</t>
        </is>
      </c>
      <c r="D241" s="16" t="inlineStr">
        <is>
          <t>THE_ET_INFUSION</t>
        </is>
      </c>
      <c r="E241" s="16" t="inlineStr">
        <is>
          <t>SIGNATURE</t>
        </is>
      </c>
      <c r="F241" s="16" t="inlineStr">
        <is>
          <t>TATASSE</t>
        </is>
      </c>
      <c r="G241" s="16" t="inlineStr">
        <is>
          <t>NORMAND DIRECT TERROIR</t>
        </is>
      </c>
      <c r="H241" s="16" t="inlineStr">
        <is>
          <t>Sachet Kraft 100g</t>
        </is>
      </c>
      <c r="I241" s="16" t="inlineStr">
        <is>
          <t>100 g</t>
        </is>
      </c>
      <c r="J241" s="16" t="inlineStr">
        <is>
          <t>NON</t>
        </is>
      </c>
      <c r="K241" s="17" t="inlineStr">
        <is>
          <t>5.5 %</t>
        </is>
      </c>
      <c r="L241" s="18" t="n">
        <v>5.78</v>
      </c>
      <c r="M241" s="9" t="n">
        <v>13.3</v>
      </c>
      <c r="N241" s="10" t="inlineStr">
        <is>
          <t>PROPOSÉ</t>
        </is>
      </c>
      <c r="O241" s="11">
        <f>IF(M241="","",M241-L241)</f>
        <v/>
      </c>
      <c r="P241" s="12">
        <f>IF(OR(M241="",M241=0),"",(M241-L241)/M241)</f>
        <v/>
      </c>
      <c r="Q241" s="13">
        <f>IF(OR(M241="",L241=0,L241=""),"",M241/L241)</f>
        <v/>
      </c>
      <c r="R241" s="11">
        <f>IF(M241="","",M241*1.055)</f>
        <v/>
      </c>
      <c r="S241" s="14" t="n"/>
      <c r="T241" s="15" t="n"/>
    </row>
    <row r="242">
      <c r="A242" s="6" t="inlineStr">
        <is>
          <t>PROD-0254</t>
        </is>
      </c>
      <c r="B242" s="6" t="inlineStr">
        <is>
          <t>Rooibos Saveur Macaron</t>
        </is>
      </c>
      <c r="C242" s="6" t="inlineStr">
        <is>
          <t>BOISSON_SANS_ALCOOL</t>
        </is>
      </c>
      <c r="D242" s="6" t="inlineStr">
        <is>
          <t>THE_ET_INFUSION</t>
        </is>
      </c>
      <c r="E242" s="6" t="inlineStr">
        <is>
          <t>SIGNATURE</t>
        </is>
      </c>
      <c r="F242" s="6" t="inlineStr">
        <is>
          <t>TATASSE</t>
        </is>
      </c>
      <c r="G242" s="6" t="inlineStr">
        <is>
          <t>NORMAND DIRECT TERROIR</t>
        </is>
      </c>
      <c r="H242" s="6" t="inlineStr">
        <is>
          <t>Sachet Kraft 100g</t>
        </is>
      </c>
      <c r="I242" s="6" t="inlineStr">
        <is>
          <t>100 g</t>
        </is>
      </c>
      <c r="J242" s="6" t="inlineStr">
        <is>
          <t>NON</t>
        </is>
      </c>
      <c r="K242" s="7" t="inlineStr">
        <is>
          <t>5.5 %</t>
        </is>
      </c>
      <c r="L242" s="8" t="n">
        <v>5.78</v>
      </c>
      <c r="M242" s="9" t="n">
        <v>13.3</v>
      </c>
      <c r="N242" s="10" t="inlineStr">
        <is>
          <t>PROPOSÉ</t>
        </is>
      </c>
      <c r="O242" s="11">
        <f>IF(M242="","",M242-L242)</f>
        <v/>
      </c>
      <c r="P242" s="12">
        <f>IF(OR(M242="",M242=0),"",(M242-L242)/M242)</f>
        <v/>
      </c>
      <c r="Q242" s="13">
        <f>IF(OR(M242="",L242=0,L242=""),"",M242/L242)</f>
        <v/>
      </c>
      <c r="R242" s="11">
        <f>IF(M242="","",M242*1.055)</f>
        <v/>
      </c>
      <c r="S242" s="14" t="n"/>
      <c r="T242" s="15" t="n"/>
    </row>
    <row r="243">
      <c r="A243" s="16" t="inlineStr">
        <is>
          <t>PROD-0255</t>
        </is>
      </c>
      <c r="B243" s="16" t="inlineStr">
        <is>
          <t>Rooibos Menthe Givrée</t>
        </is>
      </c>
      <c r="C243" s="16" t="inlineStr">
        <is>
          <t>BOISSON_SANS_ALCOOL</t>
        </is>
      </c>
      <c r="D243" s="16" t="inlineStr">
        <is>
          <t>THE_ET_INFUSION</t>
        </is>
      </c>
      <c r="E243" s="16" t="inlineStr">
        <is>
          <t>SIGNATURE</t>
        </is>
      </c>
      <c r="F243" s="16" t="inlineStr">
        <is>
          <t>TATASSE</t>
        </is>
      </c>
      <c r="G243" s="16" t="inlineStr">
        <is>
          <t>NORMAND DIRECT TERROIR</t>
        </is>
      </c>
      <c r="H243" s="16" t="inlineStr">
        <is>
          <t>Sachet Kraft 100g</t>
        </is>
      </c>
      <c r="I243" s="16" t="inlineStr">
        <is>
          <t>100 g</t>
        </is>
      </c>
      <c r="J243" s="16" t="inlineStr">
        <is>
          <t>NON</t>
        </is>
      </c>
      <c r="K243" s="17" t="inlineStr">
        <is>
          <t>5.5 %</t>
        </is>
      </c>
      <c r="L243" s="18" t="n">
        <v>5.78</v>
      </c>
      <c r="M243" s="9" t="n">
        <v>13.3</v>
      </c>
      <c r="N243" s="10" t="inlineStr">
        <is>
          <t>PROPOSÉ</t>
        </is>
      </c>
      <c r="O243" s="11">
        <f>IF(M243="","",M243-L243)</f>
        <v/>
      </c>
      <c r="P243" s="12">
        <f>IF(OR(M243="",M243=0),"",(M243-L243)/M243)</f>
        <v/>
      </c>
      <c r="Q243" s="13">
        <f>IF(OR(M243="",L243=0,L243=""),"",M243/L243)</f>
        <v/>
      </c>
      <c r="R243" s="11">
        <f>IF(M243="","",M243*1.055)</f>
        <v/>
      </c>
      <c r="S243" s="14" t="n"/>
      <c r="T243" s="15" t="n"/>
    </row>
    <row r="244">
      <c r="A244" s="6" t="inlineStr">
        <is>
          <t>PROD-0256</t>
        </is>
      </c>
      <c r="B244" s="6" t="inlineStr">
        <is>
          <t>Rooibos Agrumes Tonic</t>
        </is>
      </c>
      <c r="C244" s="6" t="inlineStr">
        <is>
          <t>BOISSON_SANS_ALCOOL</t>
        </is>
      </c>
      <c r="D244" s="6" t="inlineStr">
        <is>
          <t>THE_ET_INFUSION</t>
        </is>
      </c>
      <c r="E244" s="6" t="inlineStr">
        <is>
          <t>SIGNATURE</t>
        </is>
      </c>
      <c r="F244" s="6" t="inlineStr">
        <is>
          <t>TATASSE</t>
        </is>
      </c>
      <c r="G244" s="6" t="inlineStr">
        <is>
          <t>NORMAND DIRECT TERROIR</t>
        </is>
      </c>
      <c r="H244" s="6" t="inlineStr">
        <is>
          <t>Sachet Kraft 100g</t>
        </is>
      </c>
      <c r="I244" s="6" t="inlineStr">
        <is>
          <t>100 g</t>
        </is>
      </c>
      <c r="J244" s="6" t="inlineStr">
        <is>
          <t>NON</t>
        </is>
      </c>
      <c r="K244" s="7" t="inlineStr">
        <is>
          <t>5.5 %</t>
        </is>
      </c>
      <c r="L244" s="8" t="n">
        <v>5.78</v>
      </c>
      <c r="M244" s="9" t="n">
        <v>13.3</v>
      </c>
      <c r="N244" s="10" t="inlineStr">
        <is>
          <t>PROPOSÉ</t>
        </is>
      </c>
      <c r="O244" s="11">
        <f>IF(M244="","",M244-L244)</f>
        <v/>
      </c>
      <c r="P244" s="12">
        <f>IF(OR(M244="",M244=0),"",(M244-L244)/M244)</f>
        <v/>
      </c>
      <c r="Q244" s="13">
        <f>IF(OR(M244="",L244=0,L244=""),"",M244/L244)</f>
        <v/>
      </c>
      <c r="R244" s="11">
        <f>IF(M244="","",M244*1.055)</f>
        <v/>
      </c>
      <c r="S244" s="14" t="n"/>
      <c r="T244" s="15" t="n"/>
    </row>
    <row r="245">
      <c r="A245" s="16" t="inlineStr">
        <is>
          <t>PROD-0257</t>
        </is>
      </c>
      <c r="B245" s="16" t="inlineStr">
        <is>
          <t>NORMAND Cambremer Pays D'Auge</t>
        </is>
      </c>
      <c r="C245" s="16" t="inlineStr">
        <is>
          <t>BOISSON_SANS_ALCOOL</t>
        </is>
      </c>
      <c r="D245" s="16" t="inlineStr">
        <is>
          <t>THE_ET_INFUSION</t>
        </is>
      </c>
      <c r="E245" s="16" t="inlineStr">
        <is>
          <t>SIGNATURE</t>
        </is>
      </c>
      <c r="F245" s="16" t="inlineStr">
        <is>
          <t>TATASSE</t>
        </is>
      </c>
      <c r="G245" s="16" t="inlineStr">
        <is>
          <t>NORMAND DIRECT TERROIR</t>
        </is>
      </c>
      <c r="H245" s="16" t="inlineStr">
        <is>
          <t>Sachet Kraft 100g</t>
        </is>
      </c>
      <c r="I245" s="16" t="inlineStr">
        <is>
          <t>100 g</t>
        </is>
      </c>
      <c r="J245" s="16" t="inlineStr">
        <is>
          <t>NON</t>
        </is>
      </c>
      <c r="K245" s="17" t="inlineStr">
        <is>
          <t>5.5 %</t>
        </is>
      </c>
      <c r="L245" s="18" t="n">
        <v>5.78</v>
      </c>
      <c r="M245" s="9" t="n">
        <v>13.3</v>
      </c>
      <c r="N245" s="10" t="inlineStr">
        <is>
          <t>PROPOSÉ</t>
        </is>
      </c>
      <c r="O245" s="11">
        <f>IF(M245="","",M245-L245)</f>
        <v/>
      </c>
      <c r="P245" s="12">
        <f>IF(OR(M245="",M245=0),"",(M245-L245)/M245)</f>
        <v/>
      </c>
      <c r="Q245" s="13">
        <f>IF(OR(M245="",L245=0,L245=""),"",M245/L245)</f>
        <v/>
      </c>
      <c r="R245" s="11">
        <f>IF(M245="","",M245*1.055)</f>
        <v/>
      </c>
      <c r="S245" s="14" t="n"/>
      <c r="T245" s="15" t="n"/>
    </row>
    <row r="246">
      <c r="A246" s="6" t="inlineStr">
        <is>
          <t>PROD-0258</t>
        </is>
      </c>
      <c r="B246" s="6" t="inlineStr">
        <is>
          <t>NORMAND Rouen Gros Horloge</t>
        </is>
      </c>
      <c r="C246" s="6" t="inlineStr">
        <is>
          <t>BOISSON_SANS_ALCOOL</t>
        </is>
      </c>
      <c r="D246" s="6" t="inlineStr">
        <is>
          <t>THE_ET_INFUSION</t>
        </is>
      </c>
      <c r="E246" s="6" t="inlineStr">
        <is>
          <t>SIGNATURE</t>
        </is>
      </c>
      <c r="F246" s="6" t="inlineStr">
        <is>
          <t>TATASSE</t>
        </is>
      </c>
      <c r="G246" s="6" t="inlineStr">
        <is>
          <t>NORMAND DIRECT TERROIR</t>
        </is>
      </c>
      <c r="H246" s="6" t="inlineStr">
        <is>
          <t>Sachet Kraft 100g</t>
        </is>
      </c>
      <c r="I246" s="6" t="inlineStr">
        <is>
          <t>100 g</t>
        </is>
      </c>
      <c r="J246" s="6" t="inlineStr">
        <is>
          <t>NON</t>
        </is>
      </c>
      <c r="K246" s="7" t="inlineStr">
        <is>
          <t>5.5 %</t>
        </is>
      </c>
      <c r="L246" s="8" t="n">
        <v>5.78</v>
      </c>
      <c r="M246" s="9" t="n">
        <v>13.3</v>
      </c>
      <c r="N246" s="10" t="inlineStr">
        <is>
          <t>PROPOSÉ</t>
        </is>
      </c>
      <c r="O246" s="11">
        <f>IF(M246="","",M246-L246)</f>
        <v/>
      </c>
      <c r="P246" s="12">
        <f>IF(OR(M246="",M246=0),"",(M246-L246)/M246)</f>
        <v/>
      </c>
      <c r="Q246" s="13">
        <f>IF(OR(M246="",L246=0,L246=""),"",M246/L246)</f>
        <v/>
      </c>
      <c r="R246" s="11">
        <f>IF(M246="","",M246*1.055)</f>
        <v/>
      </c>
      <c r="S246" s="14" t="n"/>
      <c r="T246" s="15" t="n"/>
    </row>
    <row r="247">
      <c r="A247" s="16" t="inlineStr">
        <is>
          <t>PROD-0259</t>
        </is>
      </c>
      <c r="B247" s="16" t="inlineStr">
        <is>
          <t>NORMAND Bayeux et son Bessin</t>
        </is>
      </c>
      <c r="C247" s="16" t="inlineStr">
        <is>
          <t>BOISSON_SANS_ALCOOL</t>
        </is>
      </c>
      <c r="D247" s="16" t="inlineStr">
        <is>
          <t>THE_ET_INFUSION</t>
        </is>
      </c>
      <c r="E247" s="16" t="inlineStr">
        <is>
          <t>SIGNATURE</t>
        </is>
      </c>
      <c r="F247" s="16" t="inlineStr">
        <is>
          <t>TATASSE</t>
        </is>
      </c>
      <c r="G247" s="16" t="inlineStr">
        <is>
          <t>NORMAND DIRECT TERROIR</t>
        </is>
      </c>
      <c r="H247" s="16" t="inlineStr">
        <is>
          <t>Sachet Kraft 100g</t>
        </is>
      </c>
      <c r="I247" s="16" t="inlineStr">
        <is>
          <t>100 g</t>
        </is>
      </c>
      <c r="J247" s="16" t="inlineStr">
        <is>
          <t>NON</t>
        </is>
      </c>
      <c r="K247" s="17" t="inlineStr">
        <is>
          <t>5.5 %</t>
        </is>
      </c>
      <c r="L247" s="18" t="n">
        <v>5.78</v>
      </c>
      <c r="M247" s="9" t="n">
        <v>13.3</v>
      </c>
      <c r="N247" s="10" t="inlineStr">
        <is>
          <t>PROPOSÉ</t>
        </is>
      </c>
      <c r="O247" s="11">
        <f>IF(M247="","",M247-L247)</f>
        <v/>
      </c>
      <c r="P247" s="12">
        <f>IF(OR(M247="",M247=0),"",(M247-L247)/M247)</f>
        <v/>
      </c>
      <c r="Q247" s="13">
        <f>IF(OR(M247="",L247=0,L247=""),"",M247/L247)</f>
        <v/>
      </c>
      <c r="R247" s="11">
        <f>IF(M247="","",M247*1.055)</f>
        <v/>
      </c>
      <c r="S247" s="14" t="n"/>
      <c r="T247" s="15" t="n"/>
    </row>
    <row r="248">
      <c r="A248" s="6" t="inlineStr">
        <is>
          <t>PROD-0260</t>
        </is>
      </c>
      <c r="B248" s="6" t="inlineStr">
        <is>
          <t>NORMAND Caen Ville historique</t>
        </is>
      </c>
      <c r="C248" s="6" t="inlineStr">
        <is>
          <t>BOISSON_SANS_ALCOOL</t>
        </is>
      </c>
      <c r="D248" s="6" t="inlineStr">
        <is>
          <t>THE_ET_INFUSION</t>
        </is>
      </c>
      <c r="E248" s="6" t="inlineStr">
        <is>
          <t>SIGNATURE</t>
        </is>
      </c>
      <c r="F248" s="6" t="inlineStr">
        <is>
          <t>TATASSE</t>
        </is>
      </c>
      <c r="G248" s="6" t="inlineStr">
        <is>
          <t>NORMAND DIRECT TERROIR</t>
        </is>
      </c>
      <c r="H248" s="6" t="inlineStr">
        <is>
          <t>Sachet Kraft 100g</t>
        </is>
      </c>
      <c r="I248" s="6" t="inlineStr">
        <is>
          <t>100 g</t>
        </is>
      </c>
      <c r="J248" s="6" t="inlineStr">
        <is>
          <t>NON</t>
        </is>
      </c>
      <c r="K248" s="7" t="inlineStr">
        <is>
          <t>5.5 %</t>
        </is>
      </c>
      <c r="L248" s="8" t="n">
        <v>5.78</v>
      </c>
      <c r="M248" s="9" t="n">
        <v>13.3</v>
      </c>
      <c r="N248" s="10" t="inlineStr">
        <is>
          <t>PROPOSÉ</t>
        </is>
      </c>
      <c r="O248" s="11">
        <f>IF(M248="","",M248-L248)</f>
        <v/>
      </c>
      <c r="P248" s="12">
        <f>IF(OR(M248="",M248=0),"",(M248-L248)/M248)</f>
        <v/>
      </c>
      <c r="Q248" s="13">
        <f>IF(OR(M248="",L248=0,L248=""),"",M248/L248)</f>
        <v/>
      </c>
      <c r="R248" s="11">
        <f>IF(M248="","",M248*1.055)</f>
        <v/>
      </c>
      <c r="S248" s="14" t="n"/>
      <c r="T248" s="15" t="n"/>
    </row>
    <row r="249">
      <c r="A249" s="16" t="inlineStr">
        <is>
          <t>PROD-0261</t>
        </is>
      </c>
      <c r="B249" s="16" t="inlineStr">
        <is>
          <t>NORMAND Bagnoles de l'Orne</t>
        </is>
      </c>
      <c r="C249" s="16" t="inlineStr">
        <is>
          <t>BOISSON_SANS_ALCOOL</t>
        </is>
      </c>
      <c r="D249" s="16" t="inlineStr">
        <is>
          <t>THE_ET_INFUSION</t>
        </is>
      </c>
      <c r="E249" s="16" t="inlineStr">
        <is>
          <t>SIGNATURE</t>
        </is>
      </c>
      <c r="F249" s="16" t="inlineStr">
        <is>
          <t>TATASSE</t>
        </is>
      </c>
      <c r="G249" s="16" t="inlineStr">
        <is>
          <t>NORMAND DIRECT TERROIR</t>
        </is>
      </c>
      <c r="H249" s="16" t="inlineStr">
        <is>
          <t>Sachet Kraft 100g</t>
        </is>
      </c>
      <c r="I249" s="16" t="inlineStr">
        <is>
          <t>100 g</t>
        </is>
      </c>
      <c r="J249" s="16" t="inlineStr">
        <is>
          <t>NON</t>
        </is>
      </c>
      <c r="K249" s="17" t="inlineStr">
        <is>
          <t>5.5 %</t>
        </is>
      </c>
      <c r="L249" s="18" t="n">
        <v>5.78</v>
      </c>
      <c r="M249" s="9" t="n">
        <v>13.3</v>
      </c>
      <c r="N249" s="10" t="inlineStr">
        <is>
          <t>PROPOSÉ</t>
        </is>
      </c>
      <c r="O249" s="11">
        <f>IF(M249="","",M249-L249)</f>
        <v/>
      </c>
      <c r="P249" s="12">
        <f>IF(OR(M249="",M249=0),"",(M249-L249)/M249)</f>
        <v/>
      </c>
      <c r="Q249" s="13">
        <f>IF(OR(M249="",L249=0,L249=""),"",M249/L249)</f>
        <v/>
      </c>
      <c r="R249" s="11">
        <f>IF(M249="","",M249*1.055)</f>
        <v/>
      </c>
      <c r="S249" s="14" t="n"/>
      <c r="T249" s="15" t="n"/>
    </row>
    <row r="250">
      <c r="A250" s="6" t="inlineStr">
        <is>
          <t>PROD-0262</t>
        </is>
      </c>
      <c r="B250" s="6" t="inlineStr">
        <is>
          <t>NORMAND Mont Saint Michel</t>
        </is>
      </c>
      <c r="C250" s="6" t="inlineStr">
        <is>
          <t>BOISSON_SANS_ALCOOL</t>
        </is>
      </c>
      <c r="D250" s="6" t="inlineStr">
        <is>
          <t>THE_ET_INFUSION</t>
        </is>
      </c>
      <c r="E250" s="6" t="inlineStr">
        <is>
          <t>SIGNATURE</t>
        </is>
      </c>
      <c r="F250" s="6" t="inlineStr">
        <is>
          <t>TATASSE</t>
        </is>
      </c>
      <c r="G250" s="6" t="inlineStr">
        <is>
          <t>NORMAND DIRECT TERROIR</t>
        </is>
      </c>
      <c r="H250" s="6" t="inlineStr">
        <is>
          <t>Sachet Kraft 100g</t>
        </is>
      </c>
      <c r="I250" s="6" t="inlineStr">
        <is>
          <t>100 g</t>
        </is>
      </c>
      <c r="J250" s="6" t="inlineStr">
        <is>
          <t>NON</t>
        </is>
      </c>
      <c r="K250" s="7" t="inlineStr">
        <is>
          <t>5.5 %</t>
        </is>
      </c>
      <c r="L250" s="8" t="n">
        <v>5.78</v>
      </c>
      <c r="M250" s="9" t="n">
        <v>13.3</v>
      </c>
      <c r="N250" s="10" t="inlineStr">
        <is>
          <t>PROPOSÉ</t>
        </is>
      </c>
      <c r="O250" s="11">
        <f>IF(M250="","",M250-L250)</f>
        <v/>
      </c>
      <c r="P250" s="12">
        <f>IF(OR(M250="",M250=0),"",(M250-L250)/M250)</f>
        <v/>
      </c>
      <c r="Q250" s="13">
        <f>IF(OR(M250="",L250=0,L250=""),"",M250/L250)</f>
        <v/>
      </c>
      <c r="R250" s="11">
        <f>IF(M250="","",M250*1.055)</f>
        <v/>
      </c>
      <c r="S250" s="14" t="n"/>
      <c r="T250" s="15" t="n"/>
    </row>
    <row r="251">
      <c r="A251" s="16" t="inlineStr">
        <is>
          <t>PROD-0263</t>
        </is>
      </c>
      <c r="B251" s="16" t="inlineStr">
        <is>
          <t>D-Day Plage du debarquement</t>
        </is>
      </c>
      <c r="C251" s="16" t="inlineStr">
        <is>
          <t>BOISSON_SANS_ALCOOL</t>
        </is>
      </c>
      <c r="D251" s="16" t="inlineStr">
        <is>
          <t>THE_ET_INFUSION</t>
        </is>
      </c>
      <c r="E251" s="16" t="inlineStr">
        <is>
          <t>SIGNATURE</t>
        </is>
      </c>
      <c r="F251" s="16" t="inlineStr">
        <is>
          <t>TATASSE</t>
        </is>
      </c>
      <c r="G251" s="16" t="inlineStr">
        <is>
          <t>NORMAND DIRECT TERROIR</t>
        </is>
      </c>
      <c r="H251" s="16" t="inlineStr">
        <is>
          <t>Sachet Kraft 100g</t>
        </is>
      </c>
      <c r="I251" s="16" t="inlineStr">
        <is>
          <t>100 g</t>
        </is>
      </c>
      <c r="J251" s="16" t="inlineStr">
        <is>
          <t>NON</t>
        </is>
      </c>
      <c r="K251" s="17" t="inlineStr">
        <is>
          <t>5.5 %</t>
        </is>
      </c>
      <c r="L251" s="18" t="n">
        <v>5.78</v>
      </c>
      <c r="M251" s="9" t="n">
        <v>13.3</v>
      </c>
      <c r="N251" s="10" t="inlineStr">
        <is>
          <t>PROPOSÉ</t>
        </is>
      </c>
      <c r="O251" s="11">
        <f>IF(M251="","",M251-L251)</f>
        <v/>
      </c>
      <c r="P251" s="12">
        <f>IF(OR(M251="",M251=0),"",(M251-L251)/M251)</f>
        <v/>
      </c>
      <c r="Q251" s="13">
        <f>IF(OR(M251="",L251=0,L251=""),"",M251/L251)</f>
        <v/>
      </c>
      <c r="R251" s="11">
        <f>IF(M251="","",M251*1.055)</f>
        <v/>
      </c>
      <c r="S251" s="14" t="n"/>
      <c r="T251" s="15" t="n"/>
    </row>
    <row r="252">
      <c r="A252" s="6" t="inlineStr">
        <is>
          <t>PROD-0264</t>
        </is>
      </c>
      <c r="B252" s="6" t="inlineStr">
        <is>
          <t>D-Day Normandie D-DAY</t>
        </is>
      </c>
      <c r="C252" s="6" t="inlineStr">
        <is>
          <t>BOISSON_SANS_ALCOOL</t>
        </is>
      </c>
      <c r="D252" s="6" t="inlineStr">
        <is>
          <t>THE_ET_INFUSION</t>
        </is>
      </c>
      <c r="E252" s="6" t="inlineStr">
        <is>
          <t>SIGNATURE</t>
        </is>
      </c>
      <c r="F252" s="6" t="inlineStr">
        <is>
          <t>TATASSE</t>
        </is>
      </c>
      <c r="G252" s="6" t="inlineStr">
        <is>
          <t>NORMAND DIRECT TERROIR</t>
        </is>
      </c>
      <c r="H252" s="6" t="inlineStr">
        <is>
          <t>Sachet Kraft 100g</t>
        </is>
      </c>
      <c r="I252" s="6" t="inlineStr">
        <is>
          <t>100 g</t>
        </is>
      </c>
      <c r="J252" s="6" t="inlineStr">
        <is>
          <t>NON</t>
        </is>
      </c>
      <c r="K252" s="7" t="inlineStr">
        <is>
          <t>5.5 %</t>
        </is>
      </c>
      <c r="L252" s="8" t="n">
        <v>5.78</v>
      </c>
      <c r="M252" s="9" t="n">
        <v>13.3</v>
      </c>
      <c r="N252" s="10" t="inlineStr">
        <is>
          <t>PROPOSÉ</t>
        </is>
      </c>
      <c r="O252" s="11">
        <f>IF(M252="","",M252-L252)</f>
        <v/>
      </c>
      <c r="P252" s="12">
        <f>IF(OR(M252="",M252=0),"",(M252-L252)/M252)</f>
        <v/>
      </c>
      <c r="Q252" s="13">
        <f>IF(OR(M252="",L252=0,L252=""),"",M252/L252)</f>
        <v/>
      </c>
      <c r="R252" s="11">
        <f>IF(M252="","",M252*1.055)</f>
        <v/>
      </c>
      <c r="S252" s="14" t="n"/>
      <c r="T252" s="15" t="n"/>
    </row>
    <row r="253">
      <c r="A253" s="16" t="inlineStr">
        <is>
          <t>PROD-0265</t>
        </is>
      </c>
      <c r="B253" s="16" t="inlineStr">
        <is>
          <t>D-Day Operation Overlord</t>
        </is>
      </c>
      <c r="C253" s="16" t="inlineStr">
        <is>
          <t>BOISSON_SANS_ALCOOL</t>
        </is>
      </c>
      <c r="D253" s="16" t="inlineStr">
        <is>
          <t>THE_ET_INFUSION</t>
        </is>
      </c>
      <c r="E253" s="16" t="inlineStr">
        <is>
          <t>SIGNATURE</t>
        </is>
      </c>
      <c r="F253" s="16" t="inlineStr">
        <is>
          <t>TATASSE</t>
        </is>
      </c>
      <c r="G253" s="16" t="inlineStr">
        <is>
          <t>NORMAND DIRECT TERROIR</t>
        </is>
      </c>
      <c r="H253" s="16" t="inlineStr">
        <is>
          <t>Sachet Kraft 100g</t>
        </is>
      </c>
      <c r="I253" s="16" t="inlineStr">
        <is>
          <t>100 g</t>
        </is>
      </c>
      <c r="J253" s="16" t="inlineStr">
        <is>
          <t>NON</t>
        </is>
      </c>
      <c r="K253" s="17" t="inlineStr">
        <is>
          <t>5.5 %</t>
        </is>
      </c>
      <c r="L253" s="18" t="n">
        <v>5.78</v>
      </c>
      <c r="M253" s="9" t="n">
        <v>13.3</v>
      </c>
      <c r="N253" s="10" t="inlineStr">
        <is>
          <t>PROPOSÉ</t>
        </is>
      </c>
      <c r="O253" s="11">
        <f>IF(M253="","",M253-L253)</f>
        <v/>
      </c>
      <c r="P253" s="12">
        <f>IF(OR(M253="",M253=0),"",(M253-L253)/M253)</f>
        <v/>
      </c>
      <c r="Q253" s="13">
        <f>IF(OR(M253="",L253=0,L253=""),"",M253/L253)</f>
        <v/>
      </c>
      <c r="R253" s="11">
        <f>IF(M253="","",M253*1.055)</f>
        <v/>
      </c>
      <c r="S253" s="14" t="n"/>
      <c r="T253" s="15" t="n"/>
    </row>
    <row r="254">
      <c r="A254" s="6" t="inlineStr">
        <is>
          <t>PROD-0266</t>
        </is>
      </c>
      <c r="B254" s="6" t="inlineStr">
        <is>
          <t>D-Day Parachutes</t>
        </is>
      </c>
      <c r="C254" s="6" t="inlineStr">
        <is>
          <t>BOISSON_SANS_ALCOOL</t>
        </is>
      </c>
      <c r="D254" s="6" t="inlineStr">
        <is>
          <t>THE_ET_INFUSION</t>
        </is>
      </c>
      <c r="E254" s="6" t="inlineStr">
        <is>
          <t>SIGNATURE</t>
        </is>
      </c>
      <c r="F254" s="6" t="inlineStr">
        <is>
          <t>TATASSE</t>
        </is>
      </c>
      <c r="G254" s="6" t="inlineStr">
        <is>
          <t>NORMAND DIRECT TERROIR</t>
        </is>
      </c>
      <c r="H254" s="6" t="inlineStr">
        <is>
          <t>Sachet Kraft 100g</t>
        </is>
      </c>
      <c r="I254" s="6" t="inlineStr">
        <is>
          <t>100 g</t>
        </is>
      </c>
      <c r="J254" s="6" t="inlineStr">
        <is>
          <t>NON</t>
        </is>
      </c>
      <c r="K254" s="7" t="inlineStr">
        <is>
          <t>5.5 %</t>
        </is>
      </c>
      <c r="L254" s="8" t="n">
        <v>5.78</v>
      </c>
      <c r="M254" s="9" t="n">
        <v>13.3</v>
      </c>
      <c r="N254" s="10" t="inlineStr">
        <is>
          <t>PROPOSÉ</t>
        </is>
      </c>
      <c r="O254" s="11">
        <f>IF(M254="","",M254-L254)</f>
        <v/>
      </c>
      <c r="P254" s="12">
        <f>IF(OR(M254="",M254=0),"",(M254-L254)/M254)</f>
        <v/>
      </c>
      <c r="Q254" s="13">
        <f>IF(OR(M254="",L254=0,L254=""),"",M254/L254)</f>
        <v/>
      </c>
      <c r="R254" s="11">
        <f>IF(M254="","",M254*1.055)</f>
        <v/>
      </c>
      <c r="S254" s="14" t="n"/>
      <c r="T254" s="15" t="n"/>
    </row>
    <row r="255">
      <c r="A255" s="16" t="inlineStr">
        <is>
          <t>PROD-0267</t>
        </is>
      </c>
      <c r="B255" s="16" t="inlineStr">
        <is>
          <t>D-Day Les Alliés</t>
        </is>
      </c>
      <c r="C255" s="16" t="inlineStr">
        <is>
          <t>BOISSON_SANS_ALCOOL</t>
        </is>
      </c>
      <c r="D255" s="16" t="inlineStr">
        <is>
          <t>THE_ET_INFUSION</t>
        </is>
      </c>
      <c r="E255" s="16" t="inlineStr">
        <is>
          <t>SIGNATURE</t>
        </is>
      </c>
      <c r="F255" s="16" t="inlineStr">
        <is>
          <t>TATASSE</t>
        </is>
      </c>
      <c r="G255" s="16" t="inlineStr">
        <is>
          <t>NORMAND DIRECT TERROIR</t>
        </is>
      </c>
      <c r="H255" s="16" t="inlineStr">
        <is>
          <t>Sachet Kraft 100g</t>
        </is>
      </c>
      <c r="I255" s="16" t="inlineStr">
        <is>
          <t>100 g</t>
        </is>
      </c>
      <c r="J255" s="16" t="inlineStr">
        <is>
          <t>NON</t>
        </is>
      </c>
      <c r="K255" s="17" t="inlineStr">
        <is>
          <t>5.5 %</t>
        </is>
      </c>
      <c r="L255" s="18" t="n">
        <v>5.78</v>
      </c>
      <c r="M255" s="9" t="n">
        <v>13.3</v>
      </c>
      <c r="N255" s="10" t="inlineStr">
        <is>
          <t>PROPOSÉ</t>
        </is>
      </c>
      <c r="O255" s="11">
        <f>IF(M255="","",M255-L255)</f>
        <v/>
      </c>
      <c r="P255" s="12">
        <f>IF(OR(M255="",M255=0),"",(M255-L255)/M255)</f>
        <v/>
      </c>
      <c r="Q255" s="13">
        <f>IF(OR(M255="",L255=0,L255=""),"",M255/L255)</f>
        <v/>
      </c>
      <c r="R255" s="11">
        <f>IF(M255="","",M255*1.055)</f>
        <v/>
      </c>
      <c r="S255" s="14" t="n"/>
      <c r="T255" s="15" t="n"/>
    </row>
    <row r="256">
      <c r="A256" s="6" t="inlineStr">
        <is>
          <t>PROD-0268</t>
        </is>
      </c>
      <c r="B256" s="6" t="inlineStr">
        <is>
          <t>D-Day God Save The Queen</t>
        </is>
      </c>
      <c r="C256" s="6" t="inlineStr">
        <is>
          <t>BOISSON_SANS_ALCOOL</t>
        </is>
      </c>
      <c r="D256" s="6" t="inlineStr">
        <is>
          <t>THE_ET_INFUSION</t>
        </is>
      </c>
      <c r="E256" s="6" t="inlineStr">
        <is>
          <t>SIGNATURE</t>
        </is>
      </c>
      <c r="F256" s="6" t="inlineStr">
        <is>
          <t>TATASSE</t>
        </is>
      </c>
      <c r="G256" s="6" t="inlineStr">
        <is>
          <t>NORMAND DIRECT TERROIR</t>
        </is>
      </c>
      <c r="H256" s="6" t="inlineStr">
        <is>
          <t>Sachet Kraft 100g</t>
        </is>
      </c>
      <c r="I256" s="6" t="inlineStr">
        <is>
          <t>100 g</t>
        </is>
      </c>
      <c r="J256" s="6" t="inlineStr">
        <is>
          <t>NON</t>
        </is>
      </c>
      <c r="K256" s="7" t="inlineStr">
        <is>
          <t>5.5 %</t>
        </is>
      </c>
      <c r="L256" s="8" t="n">
        <v>5.78</v>
      </c>
      <c r="M256" s="9" t="n">
        <v>13.3</v>
      </c>
      <c r="N256" s="10" t="inlineStr">
        <is>
          <t>PROPOSÉ</t>
        </is>
      </c>
      <c r="O256" s="11">
        <f>IF(M256="","",M256-L256)</f>
        <v/>
      </c>
      <c r="P256" s="12">
        <f>IF(OR(M256="",M256=0),"",(M256-L256)/M256)</f>
        <v/>
      </c>
      <c r="Q256" s="13">
        <f>IF(OR(M256="",L256=0,L256=""),"",M256/L256)</f>
        <v/>
      </c>
      <c r="R256" s="11">
        <f>IF(M256="","",M256*1.055)</f>
        <v/>
      </c>
      <c r="S256" s="14" t="n"/>
      <c r="T256" s="15" t="n"/>
    </row>
    <row r="257">
      <c r="A257" s="16" t="inlineStr">
        <is>
          <t>PROD-0223</t>
        </is>
      </c>
      <c r="B257" s="16" t="inlineStr">
        <is>
          <t>Café grains "la tasse de Lola" 250 grs</t>
        </is>
      </c>
      <c r="C257" s="16" t="inlineStr">
        <is>
          <t>BOISSON_SANS_ALCOOL</t>
        </is>
      </c>
      <c r="D257" s="16" t="inlineStr">
        <is>
          <t>CAFE</t>
        </is>
      </c>
      <c r="E257" s="16" t="inlineStr">
        <is>
          <t>SIGNATURE</t>
        </is>
      </c>
      <c r="F257" s="16" t="inlineStr">
        <is>
          <t>LA BRULERIE</t>
        </is>
      </c>
      <c r="G257" s="16" t="inlineStr">
        <is>
          <t>NORMAND DIRECT TERROIR</t>
        </is>
      </c>
      <c r="H257" s="16" t="inlineStr"/>
      <c r="I257" s="16" t="inlineStr">
        <is>
          <t>250 g</t>
        </is>
      </c>
      <c r="J257" s="16" t="inlineStr">
        <is>
          <t>NON</t>
        </is>
      </c>
      <c r="K257" s="17" t="inlineStr">
        <is>
          <t>5.5 %</t>
        </is>
      </c>
      <c r="L257" s="18" t="n">
        <v>5.08</v>
      </c>
      <c r="M257" s="9" t="n">
        <v>11.7</v>
      </c>
      <c r="N257" s="10" t="inlineStr">
        <is>
          <t>PROPOSÉ</t>
        </is>
      </c>
      <c r="O257" s="11">
        <f>IF(M257="","",M257-L257)</f>
        <v/>
      </c>
      <c r="P257" s="12">
        <f>IF(OR(M257="",M257=0),"",(M257-L257)/M257)</f>
        <v/>
      </c>
      <c r="Q257" s="13">
        <f>IF(OR(M257="",L257=0,L257=""),"",M257/L257)</f>
        <v/>
      </c>
      <c r="R257" s="11">
        <f>IF(M257="","",M257*1.055)</f>
        <v/>
      </c>
      <c r="S257" s="14" t="n"/>
      <c r="T257" s="15" t="n"/>
    </row>
    <row r="258">
      <c r="A258" s="6" t="inlineStr">
        <is>
          <t>PROD-0222</t>
        </is>
      </c>
      <c r="B258" s="6" t="inlineStr">
        <is>
          <t>Café "la tasse de Lola" 250 grs</t>
        </is>
      </c>
      <c r="C258" s="6" t="inlineStr">
        <is>
          <t>BOISSON_SANS_ALCOOL</t>
        </is>
      </c>
      <c r="D258" s="6" t="inlineStr">
        <is>
          <t>CAFE</t>
        </is>
      </c>
      <c r="E258" s="6" t="inlineStr">
        <is>
          <t>SIGNATURE</t>
        </is>
      </c>
      <c r="F258" s="6" t="inlineStr">
        <is>
          <t>LA BRULERIE</t>
        </is>
      </c>
      <c r="G258" s="6" t="inlineStr">
        <is>
          <t>NORMAND DIRECT TERROIR</t>
        </is>
      </c>
      <c r="H258" s="6" t="inlineStr"/>
      <c r="I258" s="6" t="inlineStr">
        <is>
          <t>250 g</t>
        </is>
      </c>
      <c r="J258" s="6" t="inlineStr">
        <is>
          <t>NON</t>
        </is>
      </c>
      <c r="K258" s="7" t="inlineStr">
        <is>
          <t>5.5 %</t>
        </is>
      </c>
      <c r="L258" s="8" t="n">
        <v>5</v>
      </c>
      <c r="M258" s="9" t="n">
        <v>11.5</v>
      </c>
      <c r="N258" s="10" t="inlineStr">
        <is>
          <t>PROPOSÉ</t>
        </is>
      </c>
      <c r="O258" s="11">
        <f>IF(M258="","",M258-L258)</f>
        <v/>
      </c>
      <c r="P258" s="12">
        <f>IF(OR(M258="",M258=0),"",(M258-L258)/M258)</f>
        <v/>
      </c>
      <c r="Q258" s="13">
        <f>IF(OR(M258="",L258=0,L258=""),"",M258/L258)</f>
        <v/>
      </c>
      <c r="R258" s="11">
        <f>IF(M258="","",M258*1.055)</f>
        <v/>
      </c>
      <c r="S258" s="14" t="n"/>
      <c r="T258" s="15" t="n"/>
    </row>
    <row r="259">
      <c r="A259" s="16" t="inlineStr">
        <is>
          <t>PROD-0297</t>
        </is>
      </c>
      <c r="B259" s="16" t="inlineStr">
        <is>
          <t>Calvados Arrangé Kumquat Café 70 cl</t>
        </is>
      </c>
      <c r="C259" s="16" t="inlineStr">
        <is>
          <t>BOISSON_SANS_ALCOOL</t>
        </is>
      </c>
      <c r="D259" s="16" t="inlineStr">
        <is>
          <t>CAFE</t>
        </is>
      </c>
      <c r="E259" s="16" t="inlineStr">
        <is>
          <t>PREMIUM</t>
        </is>
      </c>
      <c r="F259" s="16" t="inlineStr">
        <is>
          <t>POM’ POM’</t>
        </is>
      </c>
      <c r="G259" s="16" t="inlineStr">
        <is>
          <t>NORMAND DIRECT TERROIR</t>
        </is>
      </c>
      <c r="H259" s="16" t="inlineStr"/>
      <c r="I259" s="16" t="inlineStr">
        <is>
          <t>700 ml</t>
        </is>
      </c>
      <c r="J259" s="16" t="inlineStr">
        <is>
          <t>INGREDIENT_ALCOOLISE</t>
        </is>
      </c>
      <c r="K259" s="17" t="inlineStr">
        <is>
          <t>20 %</t>
        </is>
      </c>
      <c r="L259" s="18" t="n">
        <v>20.9</v>
      </c>
      <c r="M259" s="9" t="n">
        <v>41</v>
      </c>
      <c r="N259" s="10" t="inlineStr">
        <is>
          <t>PROPOSÉ</t>
        </is>
      </c>
      <c r="O259" s="11">
        <f>IF(M259="","",M259-L259)</f>
        <v/>
      </c>
      <c r="P259" s="12">
        <f>IF(OR(M259="",M259=0),"",(M259-L259)/M259)</f>
        <v/>
      </c>
      <c r="Q259" s="13">
        <f>IF(OR(M259="",L259=0,L259=""),"",M259/L259)</f>
        <v/>
      </c>
      <c r="R259" s="11">
        <f>IF(M259="","",M259*1.2)</f>
        <v/>
      </c>
      <c r="S259" s="14" t="n"/>
      <c r="T259" s="15" t="n"/>
    </row>
    <row r="260">
      <c r="A260" s="6" t="inlineStr">
        <is>
          <t>PROD-0675</t>
        </is>
      </c>
      <c r="B260" s="6" t="inlineStr">
        <is>
          <t>BIB Jus de pomme</t>
        </is>
      </c>
      <c r="C260" s="6" t="inlineStr">
        <is>
          <t>BOISSON_SANS_ALCOOL</t>
        </is>
      </c>
      <c r="D260" s="6" t="inlineStr">
        <is>
          <t>JUS_DE_FRUIT</t>
        </is>
      </c>
      <c r="E260" s="6" t="inlineStr">
        <is>
          <t>PREMIUM</t>
        </is>
      </c>
      <c r="F260" s="6" t="inlineStr">
        <is>
          <t>SARL DOMAINE DE BILLY</t>
        </is>
      </c>
      <c r="G260" s="6" t="inlineStr">
        <is>
          <t>SARL DOMAINE DE BILLY</t>
        </is>
      </c>
      <c r="H260" s="6" t="inlineStr">
        <is>
          <t>5 L</t>
        </is>
      </c>
      <c r="I260" s="6" t="inlineStr">
        <is>
          <t>5000 ml</t>
        </is>
      </c>
      <c r="J260" s="6" t="inlineStr">
        <is>
          <t>NON</t>
        </is>
      </c>
      <c r="K260" s="19" t="inlineStr">
        <is>
          <t>À CONFIRMER</t>
        </is>
      </c>
      <c r="L260" s="8" t="n">
        <v>12.27</v>
      </c>
      <c r="M260" s="9" t="n">
        <v>26</v>
      </c>
      <c r="N260" s="10" t="inlineStr">
        <is>
          <t>PROPOSÉ</t>
        </is>
      </c>
      <c r="O260" s="11">
        <f>IF(M260="","",M260-L260)</f>
        <v/>
      </c>
      <c r="P260" s="12">
        <f>IF(OR(M260="",M260=0),"",(M260-L260)/M260)</f>
        <v/>
      </c>
      <c r="Q260" s="13">
        <f>IF(OR(M260="",L260=0,L260=""),"",M260/L260)</f>
        <v/>
      </c>
      <c r="R260" s="11">
        <f>IF(M260="","","TVA à confirmer")</f>
        <v/>
      </c>
      <c r="S260" s="14" t="n"/>
      <c r="T260" s="15" t="n"/>
    </row>
    <row r="261">
      <c r="A261" s="16" t="inlineStr">
        <is>
          <t>PROD-0392</t>
        </is>
      </c>
      <c r="B261" s="16" t="inlineStr">
        <is>
          <t>Pack 6 bouteilles 33 cl + 2 verres</t>
        </is>
      </c>
      <c r="C261" s="16" t="inlineStr">
        <is>
          <t>COFFRET_ET_EMBALLAGE</t>
        </is>
      </c>
      <c r="D261" s="16" t="inlineStr">
        <is>
          <t>COFFRET_OU_PACK</t>
        </is>
      </c>
      <c r="E261" s="16" t="inlineStr">
        <is>
          <t>ESSENTIEL</t>
        </is>
      </c>
      <c r="F261" s="16" t="inlineStr">
        <is>
          <t>BRASSERIE LA LIE</t>
        </is>
      </c>
      <c r="G261" s="16" t="inlineStr">
        <is>
          <t>NORMAND DIRECT TERROIR</t>
        </is>
      </c>
      <c r="H261" s="16" t="inlineStr"/>
      <c r="I261" s="16" t="inlineStr">
        <is>
          <t>330 ml</t>
        </is>
      </c>
      <c r="J261" s="16" t="inlineStr">
        <is>
          <t>NON</t>
        </is>
      </c>
      <c r="K261" s="17" t="inlineStr">
        <is>
          <t>20 %</t>
        </is>
      </c>
      <c r="L261" s="18" t="n">
        <v>1.16</v>
      </c>
      <c r="M261" s="9" t="n">
        <v>2.6</v>
      </c>
      <c r="N261" s="10" t="inlineStr">
        <is>
          <t>PROPOSÉ</t>
        </is>
      </c>
      <c r="O261" s="11">
        <f>IF(M261="","",M261-L261)</f>
        <v/>
      </c>
      <c r="P261" s="12">
        <f>IF(OR(M261="",M261=0),"",(M261-L261)/M261)</f>
        <v/>
      </c>
      <c r="Q261" s="13">
        <f>IF(OR(M261="",L261=0,L261=""),"",M261/L261)</f>
        <v/>
      </c>
      <c r="R261" s="11">
        <f>IF(M261="","",M261*1.2)</f>
        <v/>
      </c>
      <c r="S261" s="14" t="n"/>
      <c r="T261" s="15" t="n"/>
    </row>
    <row r="262">
      <c r="A262" s="6" t="inlineStr">
        <is>
          <t>PROD-0394</t>
        </is>
      </c>
      <c r="B262" s="6" t="inlineStr">
        <is>
          <t>Pack 1 bouteilles 75 cl + 2 verres</t>
        </is>
      </c>
      <c r="C262" s="6" t="inlineStr">
        <is>
          <t>COFFRET_ET_EMBALLAGE</t>
        </is>
      </c>
      <c r="D262" s="6" t="inlineStr">
        <is>
          <t>COFFRET_OU_PACK</t>
        </is>
      </c>
      <c r="E262" s="6" t="inlineStr">
        <is>
          <t>ESSENTIEL</t>
        </is>
      </c>
      <c r="F262" s="6" t="inlineStr">
        <is>
          <t>BRASSERIE LA LIE</t>
        </is>
      </c>
      <c r="G262" s="6" t="inlineStr">
        <is>
          <t>NORMAND DIRECT TERROIR</t>
        </is>
      </c>
      <c r="H262" s="6" t="inlineStr"/>
      <c r="I262" s="6" t="inlineStr">
        <is>
          <t>750 ml</t>
        </is>
      </c>
      <c r="J262" s="6" t="inlineStr">
        <is>
          <t>NON</t>
        </is>
      </c>
      <c r="K262" s="7" t="inlineStr">
        <is>
          <t>20 %</t>
        </is>
      </c>
      <c r="L262" s="8" t="n">
        <v>1.12</v>
      </c>
      <c r="M262" s="9" t="n">
        <v>2.5</v>
      </c>
      <c r="N262" s="10" t="inlineStr">
        <is>
          <t>PROPOSÉ</t>
        </is>
      </c>
      <c r="O262" s="11">
        <f>IF(M262="","",M262-L262)</f>
        <v/>
      </c>
      <c r="P262" s="12">
        <f>IF(OR(M262="",M262=0),"",(M262-L262)/M262)</f>
        <v/>
      </c>
      <c r="Q262" s="13">
        <f>IF(OR(M262="",L262=0,L262=""),"",M262/L262)</f>
        <v/>
      </c>
      <c r="R262" s="11">
        <f>IF(M262="","",M262*1.2)</f>
        <v/>
      </c>
      <c r="S262" s="14" t="n"/>
      <c r="T262" s="15" t="n"/>
    </row>
    <row r="263">
      <c r="A263" s="16" t="inlineStr">
        <is>
          <t>PROD-0393</t>
        </is>
      </c>
      <c r="B263" s="16" t="inlineStr">
        <is>
          <t>Pack 3 bouteilles 75 cl</t>
        </is>
      </c>
      <c r="C263" s="16" t="inlineStr">
        <is>
          <t>COFFRET_ET_EMBALLAGE</t>
        </is>
      </c>
      <c r="D263" s="16" t="inlineStr">
        <is>
          <t>COFFRET_OU_PACK</t>
        </is>
      </c>
      <c r="E263" s="16" t="inlineStr">
        <is>
          <t>ESSENTIEL</t>
        </is>
      </c>
      <c r="F263" s="16" t="inlineStr">
        <is>
          <t>BRASSERIE LA LIE</t>
        </is>
      </c>
      <c r="G263" s="16" t="inlineStr">
        <is>
          <t>NORMAND DIRECT TERROIR</t>
        </is>
      </c>
      <c r="H263" s="16" t="inlineStr"/>
      <c r="I263" s="16" t="inlineStr">
        <is>
          <t>750 ml</t>
        </is>
      </c>
      <c r="J263" s="16" t="inlineStr">
        <is>
          <t>NON</t>
        </is>
      </c>
      <c r="K263" s="17" t="inlineStr">
        <is>
          <t>20 %</t>
        </is>
      </c>
      <c r="L263" s="18" t="n">
        <v>1.06</v>
      </c>
      <c r="M263" s="9" t="n">
        <v>2.3</v>
      </c>
      <c r="N263" s="10" t="inlineStr">
        <is>
          <t>PROPOSÉ</t>
        </is>
      </c>
      <c r="O263" s="11">
        <f>IF(M263="","",M263-L263)</f>
        <v/>
      </c>
      <c r="P263" s="12">
        <f>IF(OR(M263="",M263=0),"",(M263-L263)/M263)</f>
        <v/>
      </c>
      <c r="Q263" s="13">
        <f>IF(OR(M263="",L263=0,L263=""),"",M263/L263)</f>
        <v/>
      </c>
      <c r="R263" s="11">
        <f>IF(M263="","",M263*1.2)</f>
        <v/>
      </c>
      <c r="S263" s="14" t="n"/>
      <c r="T263" s="15" t="n"/>
    </row>
    <row r="264">
      <c r="A264" s="6" t="inlineStr">
        <is>
          <t>PROD-0391</t>
        </is>
      </c>
      <c r="B264" s="6" t="inlineStr">
        <is>
          <t>Pack 6 bouteilles 33 cl</t>
        </is>
      </c>
      <c r="C264" s="6" t="inlineStr">
        <is>
          <t>COFFRET_ET_EMBALLAGE</t>
        </is>
      </c>
      <c r="D264" s="6" t="inlineStr">
        <is>
          <t>COFFRET_OU_PACK</t>
        </is>
      </c>
      <c r="E264" s="6" t="inlineStr">
        <is>
          <t>ESSENTIEL</t>
        </is>
      </c>
      <c r="F264" s="6" t="inlineStr">
        <is>
          <t>BRASSERIE LA LIE</t>
        </is>
      </c>
      <c r="G264" s="6" t="inlineStr">
        <is>
          <t>NORMAND DIRECT TERROIR</t>
        </is>
      </c>
      <c r="H264" s="6" t="inlineStr"/>
      <c r="I264" s="6" t="inlineStr">
        <is>
          <t>330 ml</t>
        </is>
      </c>
      <c r="J264" s="6" t="inlineStr">
        <is>
          <t>NON</t>
        </is>
      </c>
      <c r="K264" s="7" t="inlineStr">
        <is>
          <t>20 %</t>
        </is>
      </c>
      <c r="L264" s="8" t="n">
        <v>0.85</v>
      </c>
      <c r="M264" s="9" t="n">
        <v>1.9</v>
      </c>
      <c r="N264" s="10" t="inlineStr">
        <is>
          <t>PROPOSÉ</t>
        </is>
      </c>
      <c r="O264" s="11">
        <f>IF(M264="","",M264-L264)</f>
        <v/>
      </c>
      <c r="P264" s="12">
        <f>IF(OR(M264="",M264=0),"",(M264-L264)/M264)</f>
        <v/>
      </c>
      <c r="Q264" s="13">
        <f>IF(OR(M264="",L264=0,L264=""),"",M264/L264)</f>
        <v/>
      </c>
      <c r="R264" s="11">
        <f>IF(M264="","",M264*1.2)</f>
        <v/>
      </c>
      <c r="S264" s="14" t="n"/>
      <c r="T264" s="15" t="n"/>
    </row>
    <row r="265">
      <c r="A265" s="16" t="inlineStr">
        <is>
          <t>PROD-0307</t>
        </is>
      </c>
      <c r="B265" s="16" t="inlineStr">
        <is>
          <t>Coffret 2 x 20cl INCLUS AVEC LES 20 CL SUR DEMANDE</t>
        </is>
      </c>
      <c r="C265" s="16" t="inlineStr">
        <is>
          <t>COFFRET_ET_EMBALLAGE</t>
        </is>
      </c>
      <c r="D265" s="16" t="inlineStr">
        <is>
          <t>COFFRET_OU_PACK</t>
        </is>
      </c>
      <c r="E265" s="16" t="inlineStr">
        <is>
          <t>ESSENTIEL</t>
        </is>
      </c>
      <c r="F265" s="16" t="inlineStr">
        <is>
          <t>POM’ POM’</t>
        </is>
      </c>
      <c r="G265" s="16" t="inlineStr">
        <is>
          <t>NORMAND DIRECT TERROIR</t>
        </is>
      </c>
      <c r="H265" s="16" t="inlineStr"/>
      <c r="I265" s="16" t="inlineStr">
        <is>
          <t>400 ml</t>
        </is>
      </c>
      <c r="J265" s="16" t="inlineStr">
        <is>
          <t>NON</t>
        </is>
      </c>
      <c r="K265" s="17" t="inlineStr">
        <is>
          <t>20 %</t>
        </is>
      </c>
      <c r="L265" s="18" t="n">
        <v>0</v>
      </c>
      <c r="M265" s="9" t="n"/>
      <c r="N265" s="10" t="inlineStr">
        <is>
          <t>PROPOSÉ</t>
        </is>
      </c>
      <c r="O265" s="11">
        <f>IF(M265="","",M265-L265)</f>
        <v/>
      </c>
      <c r="P265" s="12">
        <f>IF(OR(M265="",M265=0),"",(M265-L265)/M265)</f>
        <v/>
      </c>
      <c r="Q265" s="13">
        <f>IF(OR(M265="",L265=0,L265=""),"",M265/L265)</f>
        <v/>
      </c>
      <c r="R265" s="11">
        <f>IF(M265="","",M265*1.2)</f>
        <v/>
      </c>
      <c r="S265" s="14" t="n"/>
      <c r="T265" s="15" t="n"/>
    </row>
    <row r="266">
      <c r="A266" s="6" t="inlineStr">
        <is>
          <t>PROD-0395</t>
        </is>
      </c>
      <c r="B266" s="6" t="inlineStr">
        <is>
          <t>Demi mètre craft logoté composé de 9 bières 33 cl</t>
        </is>
      </c>
      <c r="C266" s="6" t="inlineStr">
        <is>
          <t>COFFRET_ET_EMBALLAGE</t>
        </is>
      </c>
      <c r="D266" s="6" t="inlineStr">
        <is>
          <t>COFFRET_OU_PACK</t>
        </is>
      </c>
      <c r="E266" s="6" t="inlineStr">
        <is>
          <t>PREMIUM</t>
        </is>
      </c>
      <c r="F266" s="6" t="inlineStr">
        <is>
          <t>BRASSERIE LA LIE</t>
        </is>
      </c>
      <c r="G266" s="6" t="inlineStr">
        <is>
          <t>NORMAND DIRECT TERROIR</t>
        </is>
      </c>
      <c r="H266" s="6" t="inlineStr"/>
      <c r="I266" s="6" t="inlineStr">
        <is>
          <t>330 ml</t>
        </is>
      </c>
      <c r="J266" s="6" t="inlineStr">
        <is>
          <t>NON</t>
        </is>
      </c>
      <c r="K266" s="7" t="inlineStr">
        <is>
          <t>20 %</t>
        </is>
      </c>
      <c r="L266" s="8" t="n">
        <v>21.35</v>
      </c>
      <c r="M266" s="9" t="n">
        <v>36.5</v>
      </c>
      <c r="N266" s="10" t="inlineStr">
        <is>
          <t>PROPOSÉ</t>
        </is>
      </c>
      <c r="O266" s="11">
        <f>IF(M266="","",M266-L266)</f>
        <v/>
      </c>
      <c r="P266" s="12">
        <f>IF(OR(M266="",M266=0),"",(M266-L266)/M266)</f>
        <v/>
      </c>
      <c r="Q266" s="13">
        <f>IF(OR(M266="",L266=0,L266=""),"",M266/L266)</f>
        <v/>
      </c>
      <c r="R266" s="11">
        <f>IF(M266="","",M266*1.2)</f>
        <v/>
      </c>
      <c r="S266" s="14" t="n"/>
      <c r="T266" s="15" t="n"/>
    </row>
    <row r="267">
      <c r="A267" s="16" t="inlineStr">
        <is>
          <t>PROD-0417</t>
        </is>
      </c>
      <c r="B267" s="16" t="inlineStr">
        <is>
          <t>Coffret 3 X 20 cl Gin, Vodka et Cold brew,</t>
        </is>
      </c>
      <c r="C267" s="16" t="inlineStr">
        <is>
          <t>COFFRET_ET_EMBALLAGE</t>
        </is>
      </c>
      <c r="D267" s="16" t="inlineStr">
        <is>
          <t>COFFRET_OU_PACK</t>
        </is>
      </c>
      <c r="E267" s="16" t="inlineStr">
        <is>
          <t>PRESTIGE</t>
        </is>
      </c>
      <c r="F267" s="16" t="inlineStr">
        <is>
          <t>DISTILLERIE C'EST NOUS</t>
        </is>
      </c>
      <c r="G267" s="16" t="inlineStr">
        <is>
          <t>NORMAND DIRECT TERROIR</t>
        </is>
      </c>
      <c r="H267" s="16" t="inlineStr"/>
      <c r="I267" s="16" t="inlineStr">
        <is>
          <t>600 ml</t>
        </is>
      </c>
      <c r="J267" s="16" t="inlineStr">
        <is>
          <t>NON</t>
        </is>
      </c>
      <c r="K267" s="17" t="inlineStr">
        <is>
          <t>20 %</t>
        </is>
      </c>
      <c r="L267" s="18" t="n">
        <v>33.35</v>
      </c>
      <c r="M267" s="9" t="n">
        <v>56.5</v>
      </c>
      <c r="N267" s="10" t="inlineStr">
        <is>
          <t>PROPOSÉ</t>
        </is>
      </c>
      <c r="O267" s="11">
        <f>IF(M267="","",M267-L267)</f>
        <v/>
      </c>
      <c r="P267" s="12">
        <f>IF(OR(M267="",M267=0),"",(M267-L267)/M267)</f>
        <v/>
      </c>
      <c r="Q267" s="13">
        <f>IF(OR(M267="",L267=0,L267=""),"",M267/L267)</f>
        <v/>
      </c>
      <c r="R267" s="11">
        <f>IF(M267="","",M267*1.2)</f>
        <v/>
      </c>
      <c r="S267" s="14" t="n"/>
      <c r="T267" s="15" t="n"/>
    </row>
    <row r="268">
      <c r="A268" s="6" t="inlineStr">
        <is>
          <t>PROD-0699</t>
        </is>
      </c>
      <c r="B268" s="6" t="inlineStr">
        <is>
          <t>COFFRET TRIO+VERRE</t>
        </is>
      </c>
      <c r="C268" s="6" t="inlineStr">
        <is>
          <t>COFFRET_ET_EMBALLAGE</t>
        </is>
      </c>
      <c r="D268" s="6" t="inlineStr">
        <is>
          <t>COFFRET_OU_PACK</t>
        </is>
      </c>
      <c r="E268" s="6" t="inlineStr">
        <is>
          <t>PRESTIGE</t>
        </is>
      </c>
      <c r="F268" s="6" t="inlineStr">
        <is>
          <t>SARL DOMAINE DE BILLY</t>
        </is>
      </c>
      <c r="G268" s="6" t="inlineStr">
        <is>
          <t>SARL DOMAINE DE BILLY</t>
        </is>
      </c>
      <c r="H268" s="6" t="inlineStr"/>
      <c r="I268" s="6" t="inlineStr"/>
      <c r="J268" s="6" t="inlineStr">
        <is>
          <t>NON</t>
        </is>
      </c>
      <c r="K268" s="19" t="inlineStr">
        <is>
          <t>À CONFIRMER</t>
        </is>
      </c>
      <c r="L268" s="8" t="n">
        <v>33</v>
      </c>
      <c r="M268" s="9" t="n">
        <v>56</v>
      </c>
      <c r="N268" s="10" t="inlineStr">
        <is>
          <t>PROPOSÉ</t>
        </is>
      </c>
      <c r="O268" s="11">
        <f>IF(M268="","",M268-L268)</f>
        <v/>
      </c>
      <c r="P268" s="12">
        <f>IF(OR(M268="",M268=0),"",(M268-L268)/M268)</f>
        <v/>
      </c>
      <c r="Q268" s="13">
        <f>IF(OR(M268="",L268=0,L268=""),"",M268/L268)</f>
        <v/>
      </c>
      <c r="R268" s="11">
        <f>IF(M268="","","TVA à confirmer")</f>
        <v/>
      </c>
      <c r="S268" s="14" t="n"/>
      <c r="T268" s="15" t="n"/>
    </row>
    <row r="269">
      <c r="A269" s="16" t="inlineStr">
        <is>
          <t>PROD-0698</t>
        </is>
      </c>
      <c r="B269" s="16" t="inlineStr">
        <is>
          <t>COFFRET TRIO BOIS</t>
        </is>
      </c>
      <c r="C269" s="16" t="inlineStr">
        <is>
          <t>COFFRET_ET_EMBALLAGE</t>
        </is>
      </c>
      <c r="D269" s="16" t="inlineStr">
        <is>
          <t>COFFRET_OU_PACK</t>
        </is>
      </c>
      <c r="E269" s="16" t="inlineStr">
        <is>
          <t>PRESTIGE</t>
        </is>
      </c>
      <c r="F269" s="16" t="inlineStr">
        <is>
          <t>SARL DOMAINE DE BILLY</t>
        </is>
      </c>
      <c r="G269" s="16" t="inlineStr">
        <is>
          <t>SARL DOMAINE DE BILLY</t>
        </is>
      </c>
      <c r="H269" s="16" t="inlineStr"/>
      <c r="I269" s="16" t="inlineStr"/>
      <c r="J269" s="16" t="inlineStr">
        <is>
          <t>NON</t>
        </is>
      </c>
      <c r="K269" s="20" t="inlineStr">
        <is>
          <t>À CONFIRMER</t>
        </is>
      </c>
      <c r="L269" s="18" t="n">
        <v>29</v>
      </c>
      <c r="M269" s="9" t="n">
        <v>49.5</v>
      </c>
      <c r="N269" s="10" t="inlineStr">
        <is>
          <t>PROPOSÉ</t>
        </is>
      </c>
      <c r="O269" s="11">
        <f>IF(M269="","",M269-L269)</f>
        <v/>
      </c>
      <c r="P269" s="12">
        <f>IF(OR(M269="",M269=0),"",(M269-L269)/M269)</f>
        <v/>
      </c>
      <c r="Q269" s="13">
        <f>IF(OR(M269="",L269=0,L269=""),"",M269/L269)</f>
        <v/>
      </c>
      <c r="R269" s="11">
        <f>IF(M269="","","TVA à confirmer")</f>
        <v/>
      </c>
      <c r="S269" s="14" t="n"/>
      <c r="T269" s="15" t="n"/>
    </row>
    <row r="270">
      <c r="A270" s="6" t="inlineStr">
        <is>
          <t>PROD-0502</t>
        </is>
      </c>
      <c r="B270" s="6" t="inlineStr">
        <is>
          <t>Coffret 480gr</t>
        </is>
      </c>
      <c r="C270" s="6" t="inlineStr">
        <is>
          <t>COFFRET_ET_EMBALLAGE</t>
        </is>
      </c>
      <c r="D270" s="6" t="inlineStr">
        <is>
          <t>COFFRET_OU_PACK</t>
        </is>
      </c>
      <c r="E270" s="6" t="inlineStr">
        <is>
          <t>PRESTIGE</t>
        </is>
      </c>
      <c r="F270" s="6" t="inlineStr">
        <is>
          <t>CROCAEN'T</t>
        </is>
      </c>
      <c r="G270" s="6" t="inlineStr">
        <is>
          <t>NORMAND DIRECT TERROIR</t>
        </is>
      </c>
      <c r="H270" s="6" t="inlineStr">
        <is>
          <t>billes chocolatées</t>
        </is>
      </c>
      <c r="I270" s="6" t="inlineStr">
        <is>
          <t>480 g</t>
        </is>
      </c>
      <c r="J270" s="6" t="inlineStr">
        <is>
          <t>NON</t>
        </is>
      </c>
      <c r="K270" s="7" t="inlineStr">
        <is>
          <t>5.5 %</t>
        </is>
      </c>
      <c r="L270" s="8" t="n">
        <v>28.7</v>
      </c>
      <c r="M270" s="9" t="n">
        <v>49</v>
      </c>
      <c r="N270" s="10" t="inlineStr">
        <is>
          <t>PROPOSÉ</t>
        </is>
      </c>
      <c r="O270" s="11">
        <f>IF(M270="","",M270-L270)</f>
        <v/>
      </c>
      <c r="P270" s="12">
        <f>IF(OR(M270="",M270=0),"",(M270-L270)/M270)</f>
        <v/>
      </c>
      <c r="Q270" s="13">
        <f>IF(OR(M270="",L270=0,L270=""),"",M270/L270)</f>
        <v/>
      </c>
      <c r="R270" s="11">
        <f>IF(M270="","",M270*1.055)</f>
        <v/>
      </c>
      <c r="S270" s="14" t="n"/>
      <c r="T270" s="15" t="n"/>
    </row>
    <row r="271">
      <c r="A271" s="16" t="inlineStr">
        <is>
          <t>PROD-0469</t>
        </is>
      </c>
      <c r="B271" s="16" t="inlineStr">
        <is>
          <t>Bouchées Nougat tendre 100gr emballage individuel</t>
        </is>
      </c>
      <c r="C271" s="16" t="inlineStr">
        <is>
          <t>CONFISERIE</t>
        </is>
      </c>
      <c r="D271" s="16" t="inlineStr">
        <is>
          <t>BONBON_ET_CONFISERIE</t>
        </is>
      </c>
      <c r="E271" s="16" t="inlineStr">
        <is>
          <t>ESSENTIEL</t>
        </is>
      </c>
      <c r="F271" s="16" t="inlineStr">
        <is>
          <t>Rucher du bocage Virois</t>
        </is>
      </c>
      <c r="G271" s="16" t="inlineStr">
        <is>
          <t>NORMAND DIRECT TERROIR</t>
        </is>
      </c>
      <c r="H271" s="16" t="inlineStr"/>
      <c r="I271" s="16" t="inlineStr">
        <is>
          <t>100 g</t>
        </is>
      </c>
      <c r="J271" s="16" t="inlineStr">
        <is>
          <t>NON</t>
        </is>
      </c>
      <c r="K271" s="17" t="inlineStr">
        <is>
          <t>20 %</t>
        </is>
      </c>
      <c r="L271" s="18" t="n">
        <v>4.9</v>
      </c>
      <c r="M271" s="9" t="n">
        <v>11.8</v>
      </c>
      <c r="N271" s="10" t="inlineStr">
        <is>
          <t>PROPOSÉ</t>
        </is>
      </c>
      <c r="O271" s="11">
        <f>IF(M271="","",M271-L271)</f>
        <v/>
      </c>
      <c r="P271" s="12">
        <f>IF(OR(M271="",M271=0),"",(M271-L271)/M271)</f>
        <v/>
      </c>
      <c r="Q271" s="13">
        <f>IF(OR(M271="",L271=0,L271=""),"",M271/L271)</f>
        <v/>
      </c>
      <c r="R271" s="11">
        <f>IF(M271="","",M271*1.2)</f>
        <v/>
      </c>
      <c r="S271" s="14" t="n"/>
      <c r="T271" s="15" t="n"/>
    </row>
    <row r="272">
      <c r="A272" s="6" t="inlineStr">
        <is>
          <t>PROD-0282</t>
        </is>
      </c>
      <c r="B272" s="6" t="inlineStr">
        <is>
          <t>CARAMELS 1/2 sucrette 100g Ouistreham B-LEC</t>
        </is>
      </c>
      <c r="C272" s="6" t="inlineStr">
        <is>
          <t>CONFISERIE</t>
        </is>
      </c>
      <c r="D272" s="6" t="inlineStr">
        <is>
          <t>CARAMEL</t>
        </is>
      </c>
      <c r="E272" s="6" t="inlineStr">
        <is>
          <t>ESSENTIEL</t>
        </is>
      </c>
      <c r="F272" s="6" t="inlineStr">
        <is>
          <t>BALADES NORMANDES</t>
        </is>
      </c>
      <c r="G272" s="6" t="inlineStr">
        <is>
          <t>NORMAND DIRECT TERROIR</t>
        </is>
      </c>
      <c r="H272" s="6" t="inlineStr">
        <is>
          <t>Boîte fer</t>
        </is>
      </c>
      <c r="I272" s="6" t="inlineStr">
        <is>
          <t>100 g</t>
        </is>
      </c>
      <c r="J272" s="6" t="inlineStr">
        <is>
          <t>NON</t>
        </is>
      </c>
      <c r="K272" s="7" t="inlineStr">
        <is>
          <t>20 %</t>
        </is>
      </c>
      <c r="L272" s="8" t="n">
        <v>4.64</v>
      </c>
      <c r="M272" s="9" t="n">
        <v>11.1</v>
      </c>
      <c r="N272" s="10" t="inlineStr">
        <is>
          <t>PROPOSÉ</t>
        </is>
      </c>
      <c r="O272" s="11">
        <f>IF(M272="","",M272-L272)</f>
        <v/>
      </c>
      <c r="P272" s="12">
        <f>IF(OR(M272="",M272=0),"",(M272-L272)/M272)</f>
        <v/>
      </c>
      <c r="Q272" s="13">
        <f>IF(OR(M272="",L272=0,L272=""),"",M272/L272)</f>
        <v/>
      </c>
      <c r="R272" s="11">
        <f>IF(M272="","",M272*1.2)</f>
        <v/>
      </c>
      <c r="S272" s="14" t="n"/>
      <c r="T272" s="15" t="n"/>
    </row>
    <row r="273">
      <c r="A273" s="16" t="inlineStr">
        <is>
          <t>PROD-0283</t>
        </is>
      </c>
      <c r="B273" s="16" t="inlineStr">
        <is>
          <t>CARAMELS 1/2 sucrette 100g Caen château B-LEC</t>
        </is>
      </c>
      <c r="C273" s="16" t="inlineStr">
        <is>
          <t>CONFISERIE</t>
        </is>
      </c>
      <c r="D273" s="16" t="inlineStr">
        <is>
          <t>CARAMEL</t>
        </is>
      </c>
      <c r="E273" s="16" t="inlineStr">
        <is>
          <t>ESSENTIEL</t>
        </is>
      </c>
      <c r="F273" s="16" t="inlineStr">
        <is>
          <t>BALADES NORMANDES</t>
        </is>
      </c>
      <c r="G273" s="16" t="inlineStr">
        <is>
          <t>NORMAND DIRECT TERROIR</t>
        </is>
      </c>
      <c r="H273" s="16" t="inlineStr">
        <is>
          <t>Boîte fer</t>
        </is>
      </c>
      <c r="I273" s="16" t="inlineStr">
        <is>
          <t>100 g</t>
        </is>
      </c>
      <c r="J273" s="16" t="inlineStr">
        <is>
          <t>NON</t>
        </is>
      </c>
      <c r="K273" s="17" t="inlineStr">
        <is>
          <t>20 %</t>
        </is>
      </c>
      <c r="L273" s="18" t="n">
        <v>4.64</v>
      </c>
      <c r="M273" s="9" t="n">
        <v>11.1</v>
      </c>
      <c r="N273" s="10" t="inlineStr">
        <is>
          <t>PROPOSÉ</t>
        </is>
      </c>
      <c r="O273" s="11">
        <f>IF(M273="","",M273-L273)</f>
        <v/>
      </c>
      <c r="P273" s="12">
        <f>IF(OR(M273="",M273=0),"",(M273-L273)/M273)</f>
        <v/>
      </c>
      <c r="Q273" s="13">
        <f>IF(OR(M273="",L273=0,L273=""),"",M273/L273)</f>
        <v/>
      </c>
      <c r="R273" s="11">
        <f>IF(M273="","",M273*1.2)</f>
        <v/>
      </c>
      <c r="S273" s="14" t="n"/>
      <c r="T273" s="15" t="n"/>
    </row>
    <row r="274">
      <c r="A274" s="6" t="inlineStr">
        <is>
          <t>PROD-0292</t>
        </is>
      </c>
      <c r="B274" s="6" t="inlineStr">
        <is>
          <t>Caramels d'Isigny 1/2 sucrette 100 g Parachute</t>
        </is>
      </c>
      <c r="C274" s="6" t="inlineStr">
        <is>
          <t>CONFISERIE</t>
        </is>
      </c>
      <c r="D274" s="6" t="inlineStr">
        <is>
          <t>CARAMEL</t>
        </is>
      </c>
      <c r="E274" s="6" t="inlineStr">
        <is>
          <t>ESSENTIEL</t>
        </is>
      </c>
      <c r="F274" s="6" t="inlineStr">
        <is>
          <t>BALADES NORMANDES</t>
        </is>
      </c>
      <c r="G274" s="6" t="inlineStr">
        <is>
          <t>NORMAND DIRECT TERROIR</t>
        </is>
      </c>
      <c r="H274" s="6" t="inlineStr">
        <is>
          <t>D-DAY Boîte métal</t>
        </is>
      </c>
      <c r="I274" s="6" t="inlineStr">
        <is>
          <t>100 g</t>
        </is>
      </c>
      <c r="J274" s="6" t="inlineStr">
        <is>
          <t>NON</t>
        </is>
      </c>
      <c r="K274" s="7" t="inlineStr">
        <is>
          <t>20 %</t>
        </is>
      </c>
      <c r="L274" s="8" t="n">
        <v>4.64</v>
      </c>
      <c r="M274" s="9" t="n">
        <v>11.1</v>
      </c>
      <c r="N274" s="10" t="inlineStr">
        <is>
          <t>PROPOSÉ</t>
        </is>
      </c>
      <c r="O274" s="11">
        <f>IF(M274="","",M274-L274)</f>
        <v/>
      </c>
      <c r="P274" s="12">
        <f>IF(OR(M274="",M274=0),"",(M274-L274)/M274)</f>
        <v/>
      </c>
      <c r="Q274" s="13">
        <f>IF(OR(M274="",L274=0,L274=""),"",M274/L274)</f>
        <v/>
      </c>
      <c r="R274" s="11">
        <f>IF(M274="","",M274*1.2)</f>
        <v/>
      </c>
      <c r="S274" s="14" t="n"/>
      <c r="T274" s="15" t="n"/>
    </row>
    <row r="275">
      <c r="A275" s="16" t="inlineStr">
        <is>
          <t>PROD-0293</t>
        </is>
      </c>
      <c r="B275" s="16" t="inlineStr">
        <is>
          <t>Caramels d'Isigny 1/2 sucrette 100 g OPERATION OVERLORD</t>
        </is>
      </c>
      <c r="C275" s="16" t="inlineStr">
        <is>
          <t>CONFISERIE</t>
        </is>
      </c>
      <c r="D275" s="16" t="inlineStr">
        <is>
          <t>CARAMEL</t>
        </is>
      </c>
      <c r="E275" s="16" t="inlineStr">
        <is>
          <t>ESSENTIEL</t>
        </is>
      </c>
      <c r="F275" s="16" t="inlineStr">
        <is>
          <t>BALADES NORMANDES</t>
        </is>
      </c>
      <c r="G275" s="16" t="inlineStr">
        <is>
          <t>NORMAND DIRECT TERROIR</t>
        </is>
      </c>
      <c r="H275" s="16" t="inlineStr">
        <is>
          <t>D-DAY Boîte métal</t>
        </is>
      </c>
      <c r="I275" s="16" t="inlineStr">
        <is>
          <t>100 g</t>
        </is>
      </c>
      <c r="J275" s="16" t="inlineStr">
        <is>
          <t>NON</t>
        </is>
      </c>
      <c r="K275" s="17" t="inlineStr">
        <is>
          <t>20 %</t>
        </is>
      </c>
      <c r="L275" s="18" t="n">
        <v>4.64</v>
      </c>
      <c r="M275" s="9" t="n">
        <v>11.1</v>
      </c>
      <c r="N275" s="10" t="inlineStr">
        <is>
          <t>PROPOSÉ</t>
        </is>
      </c>
      <c r="O275" s="11">
        <f>IF(M275="","",M275-L275)</f>
        <v/>
      </c>
      <c r="P275" s="12">
        <f>IF(OR(M275="",M275=0),"",(M275-L275)/M275)</f>
        <v/>
      </c>
      <c r="Q275" s="13">
        <f>IF(OR(M275="",L275=0,L275=""),"",M275/L275)</f>
        <v/>
      </c>
      <c r="R275" s="11">
        <f>IF(M275="","",M275*1.2)</f>
        <v/>
      </c>
      <c r="S275" s="14" t="n"/>
      <c r="T275" s="15" t="n"/>
    </row>
    <row r="276">
      <c r="A276" s="6" t="inlineStr">
        <is>
          <t>PROD-0544</t>
        </is>
      </c>
      <c r="B276" s="6" t="inlineStr">
        <is>
          <t>POT À LAIT</t>
        </is>
      </c>
      <c r="C276" s="6" t="inlineStr">
        <is>
          <t>CONFISERIE</t>
        </is>
      </c>
      <c r="D276" s="6" t="inlineStr">
        <is>
          <t>CARAMEL</t>
        </is>
      </c>
      <c r="E276" s="6" t="inlineStr">
        <is>
          <t>ESSENTIEL</t>
        </is>
      </c>
      <c r="F276" s="6" t="inlineStr">
        <is>
          <t>CARAMELS D'ISIGNY</t>
        </is>
      </c>
      <c r="G276" s="6" t="inlineStr">
        <is>
          <t>CARAMELS D'ISIGNY</t>
        </is>
      </c>
      <c r="H276" s="6" t="inlineStr">
        <is>
          <t>75G</t>
        </is>
      </c>
      <c r="I276" s="6" t="inlineStr">
        <is>
          <t>75 g</t>
        </is>
      </c>
      <c r="J276" s="6" t="inlineStr">
        <is>
          <t>NON</t>
        </is>
      </c>
      <c r="K276" s="7" t="inlineStr">
        <is>
          <t>20 %</t>
        </is>
      </c>
      <c r="L276" s="8" t="n">
        <v>4.5</v>
      </c>
      <c r="M276" s="9" t="n">
        <v>10.8</v>
      </c>
      <c r="N276" s="10" t="inlineStr">
        <is>
          <t>PROPOSÉ</t>
        </is>
      </c>
      <c r="O276" s="11">
        <f>IF(M276="","",M276-L276)</f>
        <v/>
      </c>
      <c r="P276" s="12">
        <f>IF(OR(M276="",M276=0),"",(M276-L276)/M276)</f>
        <v/>
      </c>
      <c r="Q276" s="13">
        <f>IF(OR(M276="",L276=0,L276=""),"",M276/L276)</f>
        <v/>
      </c>
      <c r="R276" s="11">
        <f>IF(M276="","",M276*1.2)</f>
        <v/>
      </c>
      <c r="S276" s="14" t="n"/>
      <c r="T276" s="15" t="n"/>
    </row>
    <row r="277">
      <c r="A277" s="16" t="inlineStr">
        <is>
          <t>PROD-0655</t>
        </is>
      </c>
      <c r="B277" s="16" t="inlineStr">
        <is>
          <t>SACHET DE NOUGATS</t>
        </is>
      </c>
      <c r="C277" s="16" t="inlineStr">
        <is>
          <t>CONFISERIE</t>
        </is>
      </c>
      <c r="D277" s="16" t="inlineStr">
        <is>
          <t>BONBON_ET_CONFISERIE</t>
        </is>
      </c>
      <c r="E277" s="16" t="inlineStr">
        <is>
          <t>ESSENTIEL</t>
        </is>
      </c>
      <c r="F277" s="16" t="inlineStr">
        <is>
          <t>CARAMELS D'ISIGNY</t>
        </is>
      </c>
      <c r="G277" s="16" t="inlineStr">
        <is>
          <t>CARAMELS D'ISIGNY</t>
        </is>
      </c>
      <c r="H277" s="16" t="inlineStr">
        <is>
          <t>150G</t>
        </is>
      </c>
      <c r="I277" s="16" t="inlineStr">
        <is>
          <t>150 g</t>
        </is>
      </c>
      <c r="J277" s="16" t="inlineStr">
        <is>
          <t>NON</t>
        </is>
      </c>
      <c r="K277" s="17" t="inlineStr">
        <is>
          <t>20 %</t>
        </is>
      </c>
      <c r="L277" s="18" t="n">
        <v>4.5</v>
      </c>
      <c r="M277" s="9" t="n">
        <v>10.8</v>
      </c>
      <c r="N277" s="10" t="inlineStr">
        <is>
          <t>PROPOSÉ</t>
        </is>
      </c>
      <c r="O277" s="11">
        <f>IF(M277="","",M277-L277)</f>
        <v/>
      </c>
      <c r="P277" s="12">
        <f>IF(OR(M277="",M277=0),"",(M277-L277)/M277)</f>
        <v/>
      </c>
      <c r="Q277" s="13">
        <f>IF(OR(M277="",L277=0,L277=""),"",M277/L277)</f>
        <v/>
      </c>
      <c r="R277" s="11">
        <f>IF(M277="","",M277*1.2)</f>
        <v/>
      </c>
      <c r="S277" s="14" t="n"/>
      <c r="T277" s="15" t="n"/>
    </row>
    <row r="278">
      <c r="A278" s="6" t="inlineStr">
        <is>
          <t>PROD-0466</t>
        </is>
      </c>
      <c r="B278" s="6" t="inlineStr">
        <is>
          <t>Nougat tendre Amandes Noisettes Pistaches 100gr</t>
        </is>
      </c>
      <c r="C278" s="6" t="inlineStr">
        <is>
          <t>CONFISERIE</t>
        </is>
      </c>
      <c r="D278" s="6" t="inlineStr">
        <is>
          <t>BONBON_ET_CONFISERIE</t>
        </is>
      </c>
      <c r="E278" s="6" t="inlineStr">
        <is>
          <t>ESSENTIEL</t>
        </is>
      </c>
      <c r="F278" s="6" t="inlineStr">
        <is>
          <t>Rucher du bocage Virois</t>
        </is>
      </c>
      <c r="G278" s="6" t="inlineStr">
        <is>
          <t>NORMAND DIRECT TERROIR</t>
        </is>
      </c>
      <c r="H278" s="6" t="inlineStr"/>
      <c r="I278" s="6" t="inlineStr">
        <is>
          <t>100 g</t>
        </is>
      </c>
      <c r="J278" s="6" t="inlineStr">
        <is>
          <t>NON</t>
        </is>
      </c>
      <c r="K278" s="7" t="inlineStr">
        <is>
          <t>20 %</t>
        </is>
      </c>
      <c r="L278" s="8" t="n">
        <v>4.4</v>
      </c>
      <c r="M278" s="9" t="n">
        <v>10.6</v>
      </c>
      <c r="N278" s="10" t="inlineStr">
        <is>
          <t>PROPOSÉ</t>
        </is>
      </c>
      <c r="O278" s="11">
        <f>IF(M278="","",M278-L278)</f>
        <v/>
      </c>
      <c r="P278" s="12">
        <f>IF(OR(M278="",M278=0),"",(M278-L278)/M278)</f>
        <v/>
      </c>
      <c r="Q278" s="13">
        <f>IF(OR(M278="",L278=0,L278=""),"",M278/L278)</f>
        <v/>
      </c>
      <c r="R278" s="11">
        <f>IF(M278="","",M278*1.2)</f>
        <v/>
      </c>
      <c r="S278" s="14" t="n"/>
      <c r="T278" s="15" t="n"/>
    </row>
    <row r="279">
      <c r="A279" s="16" t="inlineStr">
        <is>
          <t>PROD-0467</t>
        </is>
      </c>
      <c r="B279" s="16" t="inlineStr">
        <is>
          <t>Nougat tendre Amandes Noisettes M&amp;M's 100gr</t>
        </is>
      </c>
      <c r="C279" s="16" t="inlineStr">
        <is>
          <t>CONFISERIE</t>
        </is>
      </c>
      <c r="D279" s="16" t="inlineStr">
        <is>
          <t>BONBON_ET_CONFISERIE</t>
        </is>
      </c>
      <c r="E279" s="16" t="inlineStr">
        <is>
          <t>ESSENTIEL</t>
        </is>
      </c>
      <c r="F279" s="16" t="inlineStr">
        <is>
          <t>Rucher du bocage Virois</t>
        </is>
      </c>
      <c r="G279" s="16" t="inlineStr">
        <is>
          <t>NORMAND DIRECT TERROIR</t>
        </is>
      </c>
      <c r="H279" s="16" t="inlineStr"/>
      <c r="I279" s="16" t="inlineStr">
        <is>
          <t>100 g</t>
        </is>
      </c>
      <c r="J279" s="16" t="inlineStr">
        <is>
          <t>NON</t>
        </is>
      </c>
      <c r="K279" s="17" t="inlineStr">
        <is>
          <t>20 %</t>
        </is>
      </c>
      <c r="L279" s="18" t="n">
        <v>4.4</v>
      </c>
      <c r="M279" s="9" t="n">
        <v>10.6</v>
      </c>
      <c r="N279" s="10" t="inlineStr">
        <is>
          <t>PROPOSÉ</t>
        </is>
      </c>
      <c r="O279" s="11">
        <f>IF(M279="","",M279-L279)</f>
        <v/>
      </c>
      <c r="P279" s="12">
        <f>IF(OR(M279="",M279=0),"",(M279-L279)/M279)</f>
        <v/>
      </c>
      <c r="Q279" s="13">
        <f>IF(OR(M279="",L279=0,L279=""),"",M279/L279)</f>
        <v/>
      </c>
      <c r="R279" s="11">
        <f>IF(M279="","",M279*1.2)</f>
        <v/>
      </c>
      <c r="S279" s="14" t="n"/>
      <c r="T279" s="15" t="n"/>
    </row>
    <row r="280">
      <c r="A280" s="6" t="inlineStr">
        <is>
          <t>PROD-0468</t>
        </is>
      </c>
      <c r="B280" s="6" t="inlineStr">
        <is>
          <t>Nougat tendre Noix de Pécan Caramel beurre salé 100gr</t>
        </is>
      </c>
      <c r="C280" s="6" t="inlineStr">
        <is>
          <t>CONFISERIE</t>
        </is>
      </c>
      <c r="D280" s="6" t="inlineStr">
        <is>
          <t>BONBON_ET_CONFISERIE</t>
        </is>
      </c>
      <c r="E280" s="6" t="inlineStr">
        <is>
          <t>ESSENTIEL</t>
        </is>
      </c>
      <c r="F280" s="6" t="inlineStr">
        <is>
          <t>Rucher du bocage Virois</t>
        </is>
      </c>
      <c r="G280" s="6" t="inlineStr">
        <is>
          <t>NORMAND DIRECT TERROIR</t>
        </is>
      </c>
      <c r="H280" s="6" t="inlineStr"/>
      <c r="I280" s="6" t="inlineStr">
        <is>
          <t>100 g</t>
        </is>
      </c>
      <c r="J280" s="6" t="inlineStr">
        <is>
          <t>NON</t>
        </is>
      </c>
      <c r="K280" s="7" t="inlineStr">
        <is>
          <t>20 %</t>
        </is>
      </c>
      <c r="L280" s="8" t="n">
        <v>4.4</v>
      </c>
      <c r="M280" s="9" t="n">
        <v>10.6</v>
      </c>
      <c r="N280" s="10" t="inlineStr">
        <is>
          <t>PROPOSÉ</t>
        </is>
      </c>
      <c r="O280" s="11">
        <f>IF(M280="","",M280-L280)</f>
        <v/>
      </c>
      <c r="P280" s="12">
        <f>IF(OR(M280="",M280=0),"",(M280-L280)/M280)</f>
        <v/>
      </c>
      <c r="Q280" s="13">
        <f>IF(OR(M280="",L280=0,L280=""),"",M280/L280)</f>
        <v/>
      </c>
      <c r="R280" s="11">
        <f>IF(M280="","",M280*1.2)</f>
        <v/>
      </c>
      <c r="S280" s="14" t="n"/>
      <c r="T280" s="15" t="n"/>
    </row>
    <row r="281">
      <c r="A281" s="16" t="inlineStr">
        <is>
          <t>PROD-0524</t>
        </is>
      </c>
      <c r="B281" s="16" t="inlineStr">
        <is>
          <t>SACHET FONDANTS BEURRE SALÉ</t>
        </is>
      </c>
      <c r="C281" s="16" t="inlineStr">
        <is>
          <t>CONFISERIE</t>
        </is>
      </c>
      <c r="D281" s="16" t="inlineStr">
        <is>
          <t>CARAMEL</t>
        </is>
      </c>
      <c r="E281" s="16" t="inlineStr">
        <is>
          <t>ESSENTIEL</t>
        </is>
      </c>
      <c r="F281" s="16" t="inlineStr">
        <is>
          <t>CARAMELS D'ISIGNY</t>
        </is>
      </c>
      <c r="G281" s="16" t="inlineStr">
        <is>
          <t>CARAMELS D'ISIGNY</t>
        </is>
      </c>
      <c r="H281" s="16" t="inlineStr">
        <is>
          <t>175G</t>
        </is>
      </c>
      <c r="I281" s="16" t="inlineStr">
        <is>
          <t>175 g</t>
        </is>
      </c>
      <c r="J281" s="16" t="inlineStr">
        <is>
          <t>NON</t>
        </is>
      </c>
      <c r="K281" s="17" t="inlineStr">
        <is>
          <t>20 %</t>
        </is>
      </c>
      <c r="L281" s="18" t="n">
        <v>4.4</v>
      </c>
      <c r="M281" s="9" t="n">
        <v>10.6</v>
      </c>
      <c r="N281" s="10" t="inlineStr">
        <is>
          <t>PROPOSÉ</t>
        </is>
      </c>
      <c r="O281" s="11">
        <f>IF(M281="","",M281-L281)</f>
        <v/>
      </c>
      <c r="P281" s="12">
        <f>IF(OR(M281="",M281=0),"",(M281-L281)/M281)</f>
        <v/>
      </c>
      <c r="Q281" s="13">
        <f>IF(OR(M281="",L281=0,L281=""),"",M281/L281)</f>
        <v/>
      </c>
      <c r="R281" s="11">
        <f>IF(M281="","",M281*1.2)</f>
        <v/>
      </c>
      <c r="S281" s="14" t="n"/>
      <c r="T281" s="15" t="n"/>
    </row>
    <row r="282">
      <c r="A282" s="6" t="inlineStr">
        <is>
          <t>PROD-0525</t>
        </is>
      </c>
      <c r="B282" s="6" t="inlineStr">
        <is>
          <t>SACHET FONDANTS NOISETTE</t>
        </is>
      </c>
      <c r="C282" s="6" t="inlineStr">
        <is>
          <t>CONFISERIE</t>
        </is>
      </c>
      <c r="D282" s="6" t="inlineStr">
        <is>
          <t>CARAMEL</t>
        </is>
      </c>
      <c r="E282" s="6" t="inlineStr">
        <is>
          <t>ESSENTIEL</t>
        </is>
      </c>
      <c r="F282" s="6" t="inlineStr">
        <is>
          <t>CARAMELS D'ISIGNY</t>
        </is>
      </c>
      <c r="G282" s="6" t="inlineStr">
        <is>
          <t>CARAMELS D'ISIGNY</t>
        </is>
      </c>
      <c r="H282" s="6" t="inlineStr">
        <is>
          <t>175G</t>
        </is>
      </c>
      <c r="I282" s="6" t="inlineStr">
        <is>
          <t>175 g</t>
        </is>
      </c>
      <c r="J282" s="6" t="inlineStr">
        <is>
          <t>NON</t>
        </is>
      </c>
      <c r="K282" s="7" t="inlineStr">
        <is>
          <t>20 %</t>
        </is>
      </c>
      <c r="L282" s="8" t="n">
        <v>4.4</v>
      </c>
      <c r="M282" s="9" t="n">
        <v>10.6</v>
      </c>
      <c r="N282" s="10" t="inlineStr">
        <is>
          <t>PROPOSÉ</t>
        </is>
      </c>
      <c r="O282" s="11">
        <f>IF(M282="","",M282-L282)</f>
        <v/>
      </c>
      <c r="P282" s="12">
        <f>IF(OR(M282="",M282=0),"",(M282-L282)/M282)</f>
        <v/>
      </c>
      <c r="Q282" s="13">
        <f>IF(OR(M282="",L282=0,L282=""),"",M282/L282)</f>
        <v/>
      </c>
      <c r="R282" s="11">
        <f>IF(M282="","",M282*1.2)</f>
        <v/>
      </c>
      <c r="S282" s="14" t="n"/>
      <c r="T282" s="15" t="n"/>
    </row>
    <row r="283">
      <c r="A283" s="16" t="inlineStr">
        <is>
          <t>PROD-0526</t>
        </is>
      </c>
      <c r="B283" s="16" t="inlineStr">
        <is>
          <t>SACHET FONDANTS VANILLE</t>
        </is>
      </c>
      <c r="C283" s="16" t="inlineStr">
        <is>
          <t>CONFISERIE</t>
        </is>
      </c>
      <c r="D283" s="16" t="inlineStr">
        <is>
          <t>CARAMEL</t>
        </is>
      </c>
      <c r="E283" s="16" t="inlineStr">
        <is>
          <t>ESSENTIEL</t>
        </is>
      </c>
      <c r="F283" s="16" t="inlineStr">
        <is>
          <t>CARAMELS D'ISIGNY</t>
        </is>
      </c>
      <c r="G283" s="16" t="inlineStr">
        <is>
          <t>CARAMELS D'ISIGNY</t>
        </is>
      </c>
      <c r="H283" s="16" t="inlineStr">
        <is>
          <t>175G</t>
        </is>
      </c>
      <c r="I283" s="16" t="inlineStr">
        <is>
          <t>175 g</t>
        </is>
      </c>
      <c r="J283" s="16" t="inlineStr">
        <is>
          <t>NON</t>
        </is>
      </c>
      <c r="K283" s="17" t="inlineStr">
        <is>
          <t>20 %</t>
        </is>
      </c>
      <c r="L283" s="18" t="n">
        <v>4.4</v>
      </c>
      <c r="M283" s="9" t="n">
        <v>10.6</v>
      </c>
      <c r="N283" s="10" t="inlineStr">
        <is>
          <t>PROPOSÉ</t>
        </is>
      </c>
      <c r="O283" s="11">
        <f>IF(M283="","",M283-L283)</f>
        <v/>
      </c>
      <c r="P283" s="12">
        <f>IF(OR(M283="",M283=0),"",(M283-L283)/M283)</f>
        <v/>
      </c>
      <c r="Q283" s="13">
        <f>IF(OR(M283="",L283=0,L283=""),"",M283/L283)</f>
        <v/>
      </c>
      <c r="R283" s="11">
        <f>IF(M283="","",M283*1.2)</f>
        <v/>
      </c>
      <c r="S283" s="14" t="n"/>
      <c r="T283" s="15" t="n"/>
    </row>
    <row r="284">
      <c r="A284" s="6" t="inlineStr">
        <is>
          <t>PROD-0527</t>
        </is>
      </c>
      <c r="B284" s="6" t="inlineStr">
        <is>
          <t>SACHET FONDANTS VANILLE MARBRÉ CHOCOLAT</t>
        </is>
      </c>
      <c r="C284" s="6" t="inlineStr">
        <is>
          <t>CONFISERIE</t>
        </is>
      </c>
      <c r="D284" s="6" t="inlineStr">
        <is>
          <t>CARAMEL</t>
        </is>
      </c>
      <c r="E284" s="6" t="inlineStr">
        <is>
          <t>ESSENTIEL</t>
        </is>
      </c>
      <c r="F284" s="6" t="inlineStr">
        <is>
          <t>CARAMELS D'ISIGNY</t>
        </is>
      </c>
      <c r="G284" s="6" t="inlineStr">
        <is>
          <t>CARAMELS D'ISIGNY</t>
        </is>
      </c>
      <c r="H284" s="6" t="inlineStr">
        <is>
          <t>175G</t>
        </is>
      </c>
      <c r="I284" s="6" t="inlineStr">
        <is>
          <t>175 g</t>
        </is>
      </c>
      <c r="J284" s="6" t="inlineStr">
        <is>
          <t>NON</t>
        </is>
      </c>
      <c r="K284" s="7" t="inlineStr">
        <is>
          <t>20 %</t>
        </is>
      </c>
      <c r="L284" s="8" t="n">
        <v>4.4</v>
      </c>
      <c r="M284" s="9" t="n">
        <v>10.6</v>
      </c>
      <c r="N284" s="10" t="inlineStr">
        <is>
          <t>PROPOSÉ</t>
        </is>
      </c>
      <c r="O284" s="11">
        <f>IF(M284="","",M284-L284)</f>
        <v/>
      </c>
      <c r="P284" s="12">
        <f>IF(OR(M284="",M284=0),"",(M284-L284)/M284)</f>
        <v/>
      </c>
      <c r="Q284" s="13">
        <f>IF(OR(M284="",L284=0,L284=""),"",M284/L284)</f>
        <v/>
      </c>
      <c r="R284" s="11">
        <f>IF(M284="","",M284*1.2)</f>
        <v/>
      </c>
      <c r="S284" s="14" t="n"/>
      <c r="T284" s="15" t="n"/>
    </row>
    <row r="285">
      <c r="A285" s="16" t="inlineStr">
        <is>
          <t>PROD-0528</t>
        </is>
      </c>
      <c r="B285" s="16" t="inlineStr">
        <is>
          <t>SACHET BEURRE SALÉ</t>
        </is>
      </c>
      <c r="C285" s="16" t="inlineStr">
        <is>
          <t>CONFISERIE</t>
        </is>
      </c>
      <c r="D285" s="16" t="inlineStr">
        <is>
          <t>CARAMEL</t>
        </is>
      </c>
      <c r="E285" s="16" t="inlineStr">
        <is>
          <t>ESSENTIEL</t>
        </is>
      </c>
      <c r="F285" s="16" t="inlineStr">
        <is>
          <t>CARAMELS D'ISIGNY</t>
        </is>
      </c>
      <c r="G285" s="16" t="inlineStr">
        <is>
          <t>CARAMELS D'ISIGNY</t>
        </is>
      </c>
      <c r="H285" s="16" t="inlineStr">
        <is>
          <t>175G</t>
        </is>
      </c>
      <c r="I285" s="16" t="inlineStr">
        <is>
          <t>175 g</t>
        </is>
      </c>
      <c r="J285" s="16" t="inlineStr">
        <is>
          <t>NON</t>
        </is>
      </c>
      <c r="K285" s="17" t="inlineStr">
        <is>
          <t>20 %</t>
        </is>
      </c>
      <c r="L285" s="18" t="n">
        <v>4.4</v>
      </c>
      <c r="M285" s="9" t="n">
        <v>10.6</v>
      </c>
      <c r="N285" s="10" t="inlineStr">
        <is>
          <t>PROPOSÉ</t>
        </is>
      </c>
      <c r="O285" s="11">
        <f>IF(M285="","",M285-L285)</f>
        <v/>
      </c>
      <c r="P285" s="12">
        <f>IF(OR(M285="",M285=0),"",(M285-L285)/M285)</f>
        <v/>
      </c>
      <c r="Q285" s="13">
        <f>IF(OR(M285="",L285=0,L285=""),"",M285/L285)</f>
        <v/>
      </c>
      <c r="R285" s="11">
        <f>IF(M285="","",M285*1.2)</f>
        <v/>
      </c>
      <c r="S285" s="14" t="n"/>
      <c r="T285" s="15" t="n"/>
    </row>
    <row r="286">
      <c r="A286" s="6" t="inlineStr">
        <is>
          <t>PROD-0529</t>
        </is>
      </c>
      <c r="B286" s="6" t="inlineStr">
        <is>
          <t>SACHET BEURRE SALÉ &amp; CRÈME D’ISIGNY AOP</t>
        </is>
      </c>
      <c r="C286" s="6" t="inlineStr">
        <is>
          <t>CONFISERIE</t>
        </is>
      </c>
      <c r="D286" s="6" t="inlineStr">
        <is>
          <t>CARAMEL</t>
        </is>
      </c>
      <c r="E286" s="6" t="inlineStr">
        <is>
          <t>ESSENTIEL</t>
        </is>
      </c>
      <c r="F286" s="6" t="inlineStr">
        <is>
          <t>CARAMELS D'ISIGNY</t>
        </is>
      </c>
      <c r="G286" s="6" t="inlineStr">
        <is>
          <t>CARAMELS D'ISIGNY</t>
        </is>
      </c>
      <c r="H286" s="6" t="inlineStr">
        <is>
          <t>175G</t>
        </is>
      </c>
      <c r="I286" s="6" t="inlineStr">
        <is>
          <t>175 g</t>
        </is>
      </c>
      <c r="J286" s="6" t="inlineStr">
        <is>
          <t>NON</t>
        </is>
      </c>
      <c r="K286" s="7" t="inlineStr">
        <is>
          <t>20 %</t>
        </is>
      </c>
      <c r="L286" s="8" t="n">
        <v>4.4</v>
      </c>
      <c r="M286" s="9" t="n">
        <v>10.6</v>
      </c>
      <c r="N286" s="10" t="inlineStr">
        <is>
          <t>PROPOSÉ</t>
        </is>
      </c>
      <c r="O286" s="11">
        <f>IF(M286="","",M286-L286)</f>
        <v/>
      </c>
      <c r="P286" s="12">
        <f>IF(OR(M286="",M286=0),"",(M286-L286)/M286)</f>
        <v/>
      </c>
      <c r="Q286" s="13">
        <f>IF(OR(M286="",L286=0,L286=""),"",M286/L286)</f>
        <v/>
      </c>
      <c r="R286" s="11">
        <f>IF(M286="","",M286*1.2)</f>
        <v/>
      </c>
      <c r="S286" s="14" t="n"/>
      <c r="T286" s="15" t="n"/>
    </row>
    <row r="287">
      <c r="A287" s="16" t="inlineStr">
        <is>
          <t>PROD-0530</t>
        </is>
      </c>
      <c r="B287" s="16" t="inlineStr">
        <is>
          <t>SACHET BEURRE DOUX D’ISIGNY AOP</t>
        </is>
      </c>
      <c r="C287" s="16" t="inlineStr">
        <is>
          <t>CONFISERIE</t>
        </is>
      </c>
      <c r="D287" s="16" t="inlineStr">
        <is>
          <t>CARAMEL</t>
        </is>
      </c>
      <c r="E287" s="16" t="inlineStr">
        <is>
          <t>ESSENTIEL</t>
        </is>
      </c>
      <c r="F287" s="16" t="inlineStr">
        <is>
          <t>CARAMELS D'ISIGNY</t>
        </is>
      </c>
      <c r="G287" s="16" t="inlineStr">
        <is>
          <t>CARAMELS D'ISIGNY</t>
        </is>
      </c>
      <c r="H287" s="16" t="inlineStr">
        <is>
          <t>175G</t>
        </is>
      </c>
      <c r="I287" s="16" t="inlineStr">
        <is>
          <t>175 g</t>
        </is>
      </c>
      <c r="J287" s="16" t="inlineStr">
        <is>
          <t>NON</t>
        </is>
      </c>
      <c r="K287" s="17" t="inlineStr">
        <is>
          <t>20 %</t>
        </is>
      </c>
      <c r="L287" s="18" t="n">
        <v>4.4</v>
      </c>
      <c r="M287" s="9" t="n">
        <v>10.6</v>
      </c>
      <c r="N287" s="10" t="inlineStr">
        <is>
          <t>PROPOSÉ</t>
        </is>
      </c>
      <c r="O287" s="11">
        <f>IF(M287="","",M287-L287)</f>
        <v/>
      </c>
      <c r="P287" s="12">
        <f>IF(OR(M287="",M287=0),"",(M287-L287)/M287)</f>
        <v/>
      </c>
      <c r="Q287" s="13">
        <f>IF(OR(M287="",L287=0,L287=""),"",M287/L287)</f>
        <v/>
      </c>
      <c r="R287" s="11">
        <f>IF(M287="","",M287*1.2)</f>
        <v/>
      </c>
      <c r="S287" s="14" t="n"/>
      <c r="T287" s="15" t="n"/>
    </row>
    <row r="288">
      <c r="A288" s="6" t="inlineStr">
        <is>
          <t>PROD-0531</t>
        </is>
      </c>
      <c r="B288" s="6" t="inlineStr">
        <is>
          <t>SACHET CRÈME D’ISIGNY AOP</t>
        </is>
      </c>
      <c r="C288" s="6" t="inlineStr">
        <is>
          <t>CONFISERIE</t>
        </is>
      </c>
      <c r="D288" s="6" t="inlineStr">
        <is>
          <t>CARAMEL</t>
        </is>
      </c>
      <c r="E288" s="6" t="inlineStr">
        <is>
          <t>ESSENTIEL</t>
        </is>
      </c>
      <c r="F288" s="6" t="inlineStr">
        <is>
          <t>CARAMELS D'ISIGNY</t>
        </is>
      </c>
      <c r="G288" s="6" t="inlineStr">
        <is>
          <t>CARAMELS D'ISIGNY</t>
        </is>
      </c>
      <c r="H288" s="6" t="inlineStr">
        <is>
          <t>175G</t>
        </is>
      </c>
      <c r="I288" s="6" t="inlineStr">
        <is>
          <t>175 g</t>
        </is>
      </c>
      <c r="J288" s="6" t="inlineStr">
        <is>
          <t>NON</t>
        </is>
      </c>
      <c r="K288" s="7" t="inlineStr">
        <is>
          <t>20 %</t>
        </is>
      </c>
      <c r="L288" s="8" t="n">
        <v>4.4</v>
      </c>
      <c r="M288" s="9" t="n">
        <v>10.6</v>
      </c>
      <c r="N288" s="10" t="inlineStr">
        <is>
          <t>PROPOSÉ</t>
        </is>
      </c>
      <c r="O288" s="11">
        <f>IF(M288="","",M288-L288)</f>
        <v/>
      </c>
      <c r="P288" s="12">
        <f>IF(OR(M288="",M288=0),"",(M288-L288)/M288)</f>
        <v/>
      </c>
      <c r="Q288" s="13">
        <f>IF(OR(M288="",L288=0,L288=""),"",M288/L288)</f>
        <v/>
      </c>
      <c r="R288" s="11">
        <f>IF(M288="","",M288*1.2)</f>
        <v/>
      </c>
      <c r="S288" s="14" t="n"/>
      <c r="T288" s="15" t="n"/>
    </row>
    <row r="289">
      <c r="A289" s="16" t="inlineStr">
        <is>
          <t>PROD-0532</t>
        </is>
      </c>
      <c r="B289" s="16" t="inlineStr">
        <is>
          <t>SACHET ASSORTIMENT FONDANTS</t>
        </is>
      </c>
      <c r="C289" s="16" t="inlineStr">
        <is>
          <t>CONFISERIE</t>
        </is>
      </c>
      <c r="D289" s="16" t="inlineStr">
        <is>
          <t>CARAMEL</t>
        </is>
      </c>
      <c r="E289" s="16" t="inlineStr">
        <is>
          <t>ESSENTIEL</t>
        </is>
      </c>
      <c r="F289" s="16" t="inlineStr">
        <is>
          <t>CARAMELS D'ISIGNY</t>
        </is>
      </c>
      <c r="G289" s="16" t="inlineStr">
        <is>
          <t>CARAMELS D'ISIGNY</t>
        </is>
      </c>
      <c r="H289" s="16" t="inlineStr">
        <is>
          <t>175G</t>
        </is>
      </c>
      <c r="I289" s="16" t="inlineStr">
        <is>
          <t>175 g</t>
        </is>
      </c>
      <c r="J289" s="16" t="inlineStr">
        <is>
          <t>NON</t>
        </is>
      </c>
      <c r="K289" s="17" t="inlineStr">
        <is>
          <t>20 %</t>
        </is>
      </c>
      <c r="L289" s="18" t="n">
        <v>4.4</v>
      </c>
      <c r="M289" s="9" t="n">
        <v>10.6</v>
      </c>
      <c r="N289" s="10" t="inlineStr">
        <is>
          <t>PROPOSÉ</t>
        </is>
      </c>
      <c r="O289" s="11">
        <f>IF(M289="","",M289-L289)</f>
        <v/>
      </c>
      <c r="P289" s="12">
        <f>IF(OR(M289="",M289=0),"",(M289-L289)/M289)</f>
        <v/>
      </c>
      <c r="Q289" s="13">
        <f>IF(OR(M289="",L289=0,L289=""),"",M289/L289)</f>
        <v/>
      </c>
      <c r="R289" s="11">
        <f>IF(M289="","",M289*1.2)</f>
        <v/>
      </c>
      <c r="S289" s="14" t="n"/>
      <c r="T289" s="15" t="n"/>
    </row>
    <row r="290">
      <c r="A290" s="6" t="inlineStr">
        <is>
          <t>PROD-0533</t>
        </is>
      </c>
      <c r="B290" s="6" t="inlineStr">
        <is>
          <t>SACHET ASSORTIMENT TRADITION</t>
        </is>
      </c>
      <c r="C290" s="6" t="inlineStr">
        <is>
          <t>CONFISERIE</t>
        </is>
      </c>
      <c r="D290" s="6" t="inlineStr">
        <is>
          <t>CARAMEL</t>
        </is>
      </c>
      <c r="E290" s="6" t="inlineStr">
        <is>
          <t>ESSENTIEL</t>
        </is>
      </c>
      <c r="F290" s="6" t="inlineStr">
        <is>
          <t>CARAMELS D'ISIGNY</t>
        </is>
      </c>
      <c r="G290" s="6" t="inlineStr">
        <is>
          <t>CARAMELS D'ISIGNY</t>
        </is>
      </c>
      <c r="H290" s="6" t="inlineStr">
        <is>
          <t>175G</t>
        </is>
      </c>
      <c r="I290" s="6" t="inlineStr">
        <is>
          <t>175 g</t>
        </is>
      </c>
      <c r="J290" s="6" t="inlineStr">
        <is>
          <t>NON</t>
        </is>
      </c>
      <c r="K290" s="7" t="inlineStr">
        <is>
          <t>20 %</t>
        </is>
      </c>
      <c r="L290" s="8" t="n">
        <v>4.4</v>
      </c>
      <c r="M290" s="9" t="n">
        <v>10.6</v>
      </c>
      <c r="N290" s="10" t="inlineStr">
        <is>
          <t>PROPOSÉ</t>
        </is>
      </c>
      <c r="O290" s="11">
        <f>IF(M290="","",M290-L290)</f>
        <v/>
      </c>
      <c r="P290" s="12">
        <f>IF(OR(M290="",M290=0),"",(M290-L290)/M290)</f>
        <v/>
      </c>
      <c r="Q290" s="13">
        <f>IF(OR(M290="",L290=0,L290=""),"",M290/L290)</f>
        <v/>
      </c>
      <c r="R290" s="11">
        <f>IF(M290="","",M290*1.2)</f>
        <v/>
      </c>
      <c r="S290" s="14" t="n"/>
      <c r="T290" s="15" t="n"/>
    </row>
    <row r="291">
      <c r="A291" s="16" t="inlineStr">
        <is>
          <t>PROD-0534</t>
        </is>
      </c>
      <c r="B291" s="16" t="inlineStr">
        <is>
          <t>SACHET ASSORTIMENT NORMANDIE</t>
        </is>
      </c>
      <c r="C291" s="16" t="inlineStr">
        <is>
          <t>CONFISERIE</t>
        </is>
      </c>
      <c r="D291" s="16" t="inlineStr">
        <is>
          <t>CARAMEL</t>
        </is>
      </c>
      <c r="E291" s="16" t="inlineStr">
        <is>
          <t>ESSENTIEL</t>
        </is>
      </c>
      <c r="F291" s="16" t="inlineStr">
        <is>
          <t>CARAMELS D'ISIGNY</t>
        </is>
      </c>
      <c r="G291" s="16" t="inlineStr">
        <is>
          <t>CARAMELS D'ISIGNY</t>
        </is>
      </c>
      <c r="H291" s="16" t="inlineStr">
        <is>
          <t>175G</t>
        </is>
      </c>
      <c r="I291" s="16" t="inlineStr">
        <is>
          <t>175 g</t>
        </is>
      </c>
      <c r="J291" s="16" t="inlineStr">
        <is>
          <t>NON</t>
        </is>
      </c>
      <c r="K291" s="17" t="inlineStr">
        <is>
          <t>20 %</t>
        </is>
      </c>
      <c r="L291" s="18" t="n">
        <v>4.4</v>
      </c>
      <c r="M291" s="9" t="n">
        <v>10.6</v>
      </c>
      <c r="N291" s="10" t="inlineStr">
        <is>
          <t>PROPOSÉ</t>
        </is>
      </c>
      <c r="O291" s="11">
        <f>IF(M291="","",M291-L291)</f>
        <v/>
      </c>
      <c r="P291" s="12">
        <f>IF(OR(M291="",M291=0),"",(M291-L291)/M291)</f>
        <v/>
      </c>
      <c r="Q291" s="13">
        <f>IF(OR(M291="",L291=0,L291=""),"",M291/L291)</f>
        <v/>
      </c>
      <c r="R291" s="11">
        <f>IF(M291="","",M291*1.2)</f>
        <v/>
      </c>
      <c r="S291" s="14" t="n"/>
      <c r="T291" s="15" t="n"/>
    </row>
    <row r="292">
      <c r="A292" s="6" t="inlineStr">
        <is>
          <t>PROD-0505</t>
        </is>
      </c>
      <c r="B292" s="6" t="inlineStr">
        <is>
          <t>BOÎTE BOIS RONDE BEURRE SALÉ</t>
        </is>
      </c>
      <c r="C292" s="6" t="inlineStr">
        <is>
          <t>CONFISERIE</t>
        </is>
      </c>
      <c r="D292" s="6" t="inlineStr">
        <is>
          <t>CARAMEL</t>
        </is>
      </c>
      <c r="E292" s="6" t="inlineStr">
        <is>
          <t>ESSENTIEL</t>
        </is>
      </c>
      <c r="F292" s="6" t="inlineStr">
        <is>
          <t>CARAMELS D'ISIGNY</t>
        </is>
      </c>
      <c r="G292" s="6" t="inlineStr">
        <is>
          <t>CARAMELS D'ISIGNY</t>
        </is>
      </c>
      <c r="H292" s="6" t="inlineStr">
        <is>
          <t>150G</t>
        </is>
      </c>
      <c r="I292" s="6" t="inlineStr">
        <is>
          <t>150 g</t>
        </is>
      </c>
      <c r="J292" s="6" t="inlineStr">
        <is>
          <t>NON</t>
        </is>
      </c>
      <c r="K292" s="7" t="inlineStr">
        <is>
          <t>20 %</t>
        </is>
      </c>
      <c r="L292" s="8" t="n">
        <v>4.25</v>
      </c>
      <c r="M292" s="9" t="n">
        <v>10.2</v>
      </c>
      <c r="N292" s="10" t="inlineStr">
        <is>
          <t>PROPOSÉ</t>
        </is>
      </c>
      <c r="O292" s="11">
        <f>IF(M292="","",M292-L292)</f>
        <v/>
      </c>
      <c r="P292" s="12">
        <f>IF(OR(M292="",M292=0),"",(M292-L292)/M292)</f>
        <v/>
      </c>
      <c r="Q292" s="13">
        <f>IF(OR(M292="",L292=0,L292=""),"",M292/L292)</f>
        <v/>
      </c>
      <c r="R292" s="11">
        <f>IF(M292="","",M292*1.2)</f>
        <v/>
      </c>
      <c r="S292" s="14" t="n"/>
      <c r="T292" s="15" t="n"/>
    </row>
    <row r="293">
      <c r="A293" s="16" t="inlineStr">
        <is>
          <t>PROD-0507</t>
        </is>
      </c>
      <c r="B293" s="16" t="inlineStr">
        <is>
          <t>BOÎTE BOIS CARRÉE BEURRE SALÉ</t>
        </is>
      </c>
      <c r="C293" s="16" t="inlineStr">
        <is>
          <t>CONFISERIE</t>
        </is>
      </c>
      <c r="D293" s="16" t="inlineStr">
        <is>
          <t>CARAMEL</t>
        </is>
      </c>
      <c r="E293" s="16" t="inlineStr">
        <is>
          <t>ESSENTIEL</t>
        </is>
      </c>
      <c r="F293" s="16" t="inlineStr">
        <is>
          <t>CARAMELS D'ISIGNY</t>
        </is>
      </c>
      <c r="G293" s="16" t="inlineStr">
        <is>
          <t>CARAMELS D'ISIGNY</t>
        </is>
      </c>
      <c r="H293" s="16" t="inlineStr">
        <is>
          <t>150G</t>
        </is>
      </c>
      <c r="I293" s="16" t="inlineStr">
        <is>
          <t>150 g</t>
        </is>
      </c>
      <c r="J293" s="16" t="inlineStr">
        <is>
          <t>NON</t>
        </is>
      </c>
      <c r="K293" s="17" t="inlineStr">
        <is>
          <t>20 %</t>
        </is>
      </c>
      <c r="L293" s="18" t="n">
        <v>4.25</v>
      </c>
      <c r="M293" s="9" t="n">
        <v>10.2</v>
      </c>
      <c r="N293" s="10" t="inlineStr">
        <is>
          <t>PROPOSÉ</t>
        </is>
      </c>
      <c r="O293" s="11">
        <f>IF(M293="","",M293-L293)</f>
        <v/>
      </c>
      <c r="P293" s="12">
        <f>IF(OR(M293="",M293=0),"",(M293-L293)/M293)</f>
        <v/>
      </c>
      <c r="Q293" s="13">
        <f>IF(OR(M293="",L293=0,L293=""),"",M293/L293)</f>
        <v/>
      </c>
      <c r="R293" s="11">
        <f>IF(M293="","",M293*1.2)</f>
        <v/>
      </c>
      <c r="S293" s="14" t="n"/>
      <c r="T293" s="15" t="n"/>
    </row>
    <row r="294">
      <c r="A294" s="6" t="inlineStr">
        <is>
          <t>PROD-0509</t>
        </is>
      </c>
      <c r="B294" s="6" t="inlineStr">
        <is>
          <t>BOÎTE BOIS RONDE FONDANT BEURRE SALÉ</t>
        </is>
      </c>
      <c r="C294" s="6" t="inlineStr">
        <is>
          <t>CONFISERIE</t>
        </is>
      </c>
      <c r="D294" s="6" t="inlineStr">
        <is>
          <t>CARAMEL</t>
        </is>
      </c>
      <c r="E294" s="6" t="inlineStr">
        <is>
          <t>ESSENTIEL</t>
        </is>
      </c>
      <c r="F294" s="6" t="inlineStr">
        <is>
          <t>CARAMELS D'ISIGNY</t>
        </is>
      </c>
      <c r="G294" s="6" t="inlineStr">
        <is>
          <t>CARAMELS D'ISIGNY</t>
        </is>
      </c>
      <c r="H294" s="6" t="inlineStr">
        <is>
          <t>150G</t>
        </is>
      </c>
      <c r="I294" s="6" t="inlineStr">
        <is>
          <t>150 g</t>
        </is>
      </c>
      <c r="J294" s="6" t="inlineStr">
        <is>
          <t>NON</t>
        </is>
      </c>
      <c r="K294" s="7" t="inlineStr">
        <is>
          <t>20 %</t>
        </is>
      </c>
      <c r="L294" s="8" t="n">
        <v>4.25</v>
      </c>
      <c r="M294" s="9" t="n">
        <v>10.2</v>
      </c>
      <c r="N294" s="10" t="inlineStr">
        <is>
          <t>PROPOSÉ</t>
        </is>
      </c>
      <c r="O294" s="11">
        <f>IF(M294="","",M294-L294)</f>
        <v/>
      </c>
      <c r="P294" s="12">
        <f>IF(OR(M294="",M294=0),"",(M294-L294)/M294)</f>
        <v/>
      </c>
      <c r="Q294" s="13">
        <f>IF(OR(M294="",L294=0,L294=""),"",M294/L294)</f>
        <v/>
      </c>
      <c r="R294" s="11">
        <f>IF(M294="","",M294*1.2)</f>
        <v/>
      </c>
      <c r="S294" s="14" t="n"/>
      <c r="T294" s="15" t="n"/>
    </row>
    <row r="295">
      <c r="A295" s="16" t="inlineStr">
        <is>
          <t>PROD-0511</t>
        </is>
      </c>
      <c r="B295" s="16" t="inlineStr">
        <is>
          <t>BOÎTE BOIS CARRÉE FONDANT BEURRE SALÉ</t>
        </is>
      </c>
      <c r="C295" s="16" t="inlineStr">
        <is>
          <t>CONFISERIE</t>
        </is>
      </c>
      <c r="D295" s="16" t="inlineStr">
        <is>
          <t>CARAMEL</t>
        </is>
      </c>
      <c r="E295" s="16" t="inlineStr">
        <is>
          <t>ESSENTIEL</t>
        </is>
      </c>
      <c r="F295" s="16" t="inlineStr">
        <is>
          <t>CARAMELS D'ISIGNY</t>
        </is>
      </c>
      <c r="G295" s="16" t="inlineStr">
        <is>
          <t>CARAMELS D'ISIGNY</t>
        </is>
      </c>
      <c r="H295" s="16" t="inlineStr">
        <is>
          <t>150G</t>
        </is>
      </c>
      <c r="I295" s="16" t="inlineStr">
        <is>
          <t>150 g</t>
        </is>
      </c>
      <c r="J295" s="16" t="inlineStr">
        <is>
          <t>NON</t>
        </is>
      </c>
      <c r="K295" s="17" t="inlineStr">
        <is>
          <t>20 %</t>
        </is>
      </c>
      <c r="L295" s="18" t="n">
        <v>4.25</v>
      </c>
      <c r="M295" s="9" t="n">
        <v>10.2</v>
      </c>
      <c r="N295" s="10" t="inlineStr">
        <is>
          <t>PROPOSÉ</t>
        </is>
      </c>
      <c r="O295" s="11">
        <f>IF(M295="","",M295-L295)</f>
        <v/>
      </c>
      <c r="P295" s="12">
        <f>IF(OR(M295="",M295=0),"",(M295-L295)/M295)</f>
        <v/>
      </c>
      <c r="Q295" s="13">
        <f>IF(OR(M295="",L295=0,L295=""),"",M295/L295)</f>
        <v/>
      </c>
      <c r="R295" s="11">
        <f>IF(M295="","",M295*1.2)</f>
        <v/>
      </c>
      <c r="S295" s="14" t="n"/>
      <c r="T295" s="15" t="n"/>
    </row>
    <row r="296">
      <c r="A296" s="6" t="inlineStr">
        <is>
          <t>PROD-0513</t>
        </is>
      </c>
      <c r="B296" s="6" t="inlineStr">
        <is>
          <t>BOÎTE BOIS RONDE ASSORTIMENT TRADITION</t>
        </is>
      </c>
      <c r="C296" s="6" t="inlineStr">
        <is>
          <t>CONFISERIE</t>
        </is>
      </c>
      <c r="D296" s="6" t="inlineStr">
        <is>
          <t>CARAMEL</t>
        </is>
      </c>
      <c r="E296" s="6" t="inlineStr">
        <is>
          <t>ESSENTIEL</t>
        </is>
      </c>
      <c r="F296" s="6" t="inlineStr">
        <is>
          <t>CARAMELS D'ISIGNY</t>
        </is>
      </c>
      <c r="G296" s="6" t="inlineStr">
        <is>
          <t>CARAMELS D'ISIGNY</t>
        </is>
      </c>
      <c r="H296" s="6" t="inlineStr">
        <is>
          <t>150G</t>
        </is>
      </c>
      <c r="I296" s="6" t="inlineStr">
        <is>
          <t>150 g</t>
        </is>
      </c>
      <c r="J296" s="6" t="inlineStr">
        <is>
          <t>NON</t>
        </is>
      </c>
      <c r="K296" s="7" t="inlineStr">
        <is>
          <t>20 %</t>
        </is>
      </c>
      <c r="L296" s="8" t="n">
        <v>4.25</v>
      </c>
      <c r="M296" s="9" t="n">
        <v>10.2</v>
      </c>
      <c r="N296" s="10" t="inlineStr">
        <is>
          <t>PROPOSÉ</t>
        </is>
      </c>
      <c r="O296" s="11">
        <f>IF(M296="","",M296-L296)</f>
        <v/>
      </c>
      <c r="P296" s="12">
        <f>IF(OR(M296="",M296=0),"",(M296-L296)/M296)</f>
        <v/>
      </c>
      <c r="Q296" s="13">
        <f>IF(OR(M296="",L296=0,L296=""),"",M296/L296)</f>
        <v/>
      </c>
      <c r="R296" s="11">
        <f>IF(M296="","",M296*1.2)</f>
        <v/>
      </c>
      <c r="S296" s="14" t="n"/>
      <c r="T296" s="15" t="n"/>
    </row>
    <row r="297">
      <c r="A297" s="16" t="inlineStr">
        <is>
          <t>PROD-0515</t>
        </is>
      </c>
      <c r="B297" s="16" t="inlineStr">
        <is>
          <t>BOÎTE BOIS CARRÉE ASSORTIMENT TRADITION</t>
        </is>
      </c>
      <c r="C297" s="16" t="inlineStr">
        <is>
          <t>CONFISERIE</t>
        </is>
      </c>
      <c r="D297" s="16" t="inlineStr">
        <is>
          <t>CARAMEL</t>
        </is>
      </c>
      <c r="E297" s="16" t="inlineStr">
        <is>
          <t>ESSENTIEL</t>
        </is>
      </c>
      <c r="F297" s="16" t="inlineStr">
        <is>
          <t>CARAMELS D'ISIGNY</t>
        </is>
      </c>
      <c r="G297" s="16" t="inlineStr">
        <is>
          <t>CARAMELS D'ISIGNY</t>
        </is>
      </c>
      <c r="H297" s="16" t="inlineStr">
        <is>
          <t>150G</t>
        </is>
      </c>
      <c r="I297" s="16" t="inlineStr">
        <is>
          <t>150 g</t>
        </is>
      </c>
      <c r="J297" s="16" t="inlineStr">
        <is>
          <t>NON</t>
        </is>
      </c>
      <c r="K297" s="17" t="inlineStr">
        <is>
          <t>20 %</t>
        </is>
      </c>
      <c r="L297" s="18" t="n">
        <v>4.25</v>
      </c>
      <c r="M297" s="9" t="n">
        <v>10.2</v>
      </c>
      <c r="N297" s="10" t="inlineStr">
        <is>
          <t>PROPOSÉ</t>
        </is>
      </c>
      <c r="O297" s="11">
        <f>IF(M297="","",M297-L297)</f>
        <v/>
      </c>
      <c r="P297" s="12">
        <f>IF(OR(M297="",M297=0),"",(M297-L297)/M297)</f>
        <v/>
      </c>
      <c r="Q297" s="13">
        <f>IF(OR(M297="",L297=0,L297=""),"",M297/L297)</f>
        <v/>
      </c>
      <c r="R297" s="11">
        <f>IF(M297="","",M297*1.2)</f>
        <v/>
      </c>
      <c r="S297" s="14" t="n"/>
      <c r="T297" s="15" t="n"/>
    </row>
    <row r="298">
      <c r="A298" s="6" t="inlineStr">
        <is>
          <t>PROD-0517</t>
        </is>
      </c>
      <c r="B298" s="6" t="inlineStr">
        <is>
          <t>BOÎTE BOIS RONDE ASSORTIMENT FONDANTS</t>
        </is>
      </c>
      <c r="C298" s="6" t="inlineStr">
        <is>
          <t>CONFISERIE</t>
        </is>
      </c>
      <c r="D298" s="6" t="inlineStr">
        <is>
          <t>CARAMEL</t>
        </is>
      </c>
      <c r="E298" s="6" t="inlineStr">
        <is>
          <t>ESSENTIEL</t>
        </is>
      </c>
      <c r="F298" s="6" t="inlineStr">
        <is>
          <t>CARAMELS D'ISIGNY</t>
        </is>
      </c>
      <c r="G298" s="6" t="inlineStr">
        <is>
          <t>CARAMELS D'ISIGNY</t>
        </is>
      </c>
      <c r="H298" s="6" t="inlineStr">
        <is>
          <t>150G</t>
        </is>
      </c>
      <c r="I298" s="6" t="inlineStr">
        <is>
          <t>150 g</t>
        </is>
      </c>
      <c r="J298" s="6" t="inlineStr">
        <is>
          <t>NON</t>
        </is>
      </c>
      <c r="K298" s="7" t="inlineStr">
        <is>
          <t>20 %</t>
        </is>
      </c>
      <c r="L298" s="8" t="n">
        <v>4.25</v>
      </c>
      <c r="M298" s="9" t="n">
        <v>10.2</v>
      </c>
      <c r="N298" s="10" t="inlineStr">
        <is>
          <t>PROPOSÉ</t>
        </is>
      </c>
      <c r="O298" s="11">
        <f>IF(M298="","",M298-L298)</f>
        <v/>
      </c>
      <c r="P298" s="12">
        <f>IF(OR(M298="",M298=0),"",(M298-L298)/M298)</f>
        <v/>
      </c>
      <c r="Q298" s="13">
        <f>IF(OR(M298="",L298=0,L298=""),"",M298/L298)</f>
        <v/>
      </c>
      <c r="R298" s="11">
        <f>IF(M298="","",M298*1.2)</f>
        <v/>
      </c>
      <c r="S298" s="14" t="n"/>
      <c r="T298" s="15" t="n"/>
    </row>
    <row r="299">
      <c r="A299" s="16" t="inlineStr">
        <is>
          <t>PROD-0519</t>
        </is>
      </c>
      <c r="B299" s="16" t="inlineStr">
        <is>
          <t>BOÎTE BOIS CARRÉE ASSORTIMENT FONDANTS</t>
        </is>
      </c>
      <c r="C299" s="16" t="inlineStr">
        <is>
          <t>CONFISERIE</t>
        </is>
      </c>
      <c r="D299" s="16" t="inlineStr">
        <is>
          <t>CARAMEL</t>
        </is>
      </c>
      <c r="E299" s="16" t="inlineStr">
        <is>
          <t>ESSENTIEL</t>
        </is>
      </c>
      <c r="F299" s="16" t="inlineStr">
        <is>
          <t>CARAMELS D'ISIGNY</t>
        </is>
      </c>
      <c r="G299" s="16" t="inlineStr">
        <is>
          <t>CARAMELS D'ISIGNY</t>
        </is>
      </c>
      <c r="H299" s="16" t="inlineStr">
        <is>
          <t>150G</t>
        </is>
      </c>
      <c r="I299" s="16" t="inlineStr">
        <is>
          <t>150 g</t>
        </is>
      </c>
      <c r="J299" s="16" t="inlineStr">
        <is>
          <t>NON</t>
        </is>
      </c>
      <c r="K299" s="17" t="inlineStr">
        <is>
          <t>20 %</t>
        </is>
      </c>
      <c r="L299" s="18" t="n">
        <v>4.25</v>
      </c>
      <c r="M299" s="9" t="n">
        <v>10.2</v>
      </c>
      <c r="N299" s="10" t="inlineStr">
        <is>
          <t>PROPOSÉ</t>
        </is>
      </c>
      <c r="O299" s="11">
        <f>IF(M299="","",M299-L299)</f>
        <v/>
      </c>
      <c r="P299" s="12">
        <f>IF(OR(M299="",M299=0),"",(M299-L299)/M299)</f>
        <v/>
      </c>
      <c r="Q299" s="13">
        <f>IF(OR(M299="",L299=0,L299=""),"",M299/L299)</f>
        <v/>
      </c>
      <c r="R299" s="11">
        <f>IF(M299="","",M299*1.2)</f>
        <v/>
      </c>
      <c r="S299" s="14" t="n"/>
      <c r="T299" s="15" t="n"/>
    </row>
    <row r="300">
      <c r="A300" s="6" t="inlineStr">
        <is>
          <t>PROD-0521</t>
        </is>
      </c>
      <c r="B300" s="6" t="inlineStr">
        <is>
          <t>BOÎTE BOIS RONDE ASSORTIMENT NORMANDIE</t>
        </is>
      </c>
      <c r="C300" s="6" t="inlineStr">
        <is>
          <t>CONFISERIE</t>
        </is>
      </c>
      <c r="D300" s="6" t="inlineStr">
        <is>
          <t>CARAMEL</t>
        </is>
      </c>
      <c r="E300" s="6" t="inlineStr">
        <is>
          <t>ESSENTIEL</t>
        </is>
      </c>
      <c r="F300" s="6" t="inlineStr">
        <is>
          <t>CARAMELS D'ISIGNY</t>
        </is>
      </c>
      <c r="G300" s="6" t="inlineStr">
        <is>
          <t>CARAMELS D'ISIGNY</t>
        </is>
      </c>
      <c r="H300" s="6" t="inlineStr">
        <is>
          <t>150G</t>
        </is>
      </c>
      <c r="I300" s="6" t="inlineStr">
        <is>
          <t>150 g</t>
        </is>
      </c>
      <c r="J300" s="6" t="inlineStr">
        <is>
          <t>NON</t>
        </is>
      </c>
      <c r="K300" s="7" t="inlineStr">
        <is>
          <t>20 %</t>
        </is>
      </c>
      <c r="L300" s="8" t="n">
        <v>4.25</v>
      </c>
      <c r="M300" s="9" t="n">
        <v>10.2</v>
      </c>
      <c r="N300" s="10" t="inlineStr">
        <is>
          <t>PROPOSÉ</t>
        </is>
      </c>
      <c r="O300" s="11">
        <f>IF(M300="","",M300-L300)</f>
        <v/>
      </c>
      <c r="P300" s="12">
        <f>IF(OR(M300="",M300=0),"",(M300-L300)/M300)</f>
        <v/>
      </c>
      <c r="Q300" s="13">
        <f>IF(OR(M300="",L300=0,L300=""),"",M300/L300)</f>
        <v/>
      </c>
      <c r="R300" s="11">
        <f>IF(M300="","",M300*1.2)</f>
        <v/>
      </c>
      <c r="S300" s="14" t="n"/>
      <c r="T300" s="15" t="n"/>
    </row>
    <row r="301">
      <c r="A301" s="16" t="inlineStr">
        <is>
          <t>PROD-0523</t>
        </is>
      </c>
      <c r="B301" s="16" t="inlineStr">
        <is>
          <t>BOÎTE BOIS CARRÉE ASSORTIMENT NORMANDIE</t>
        </is>
      </c>
      <c r="C301" s="16" t="inlineStr">
        <is>
          <t>CONFISERIE</t>
        </is>
      </c>
      <c r="D301" s="16" t="inlineStr">
        <is>
          <t>CARAMEL</t>
        </is>
      </c>
      <c r="E301" s="16" t="inlineStr">
        <is>
          <t>ESSENTIEL</t>
        </is>
      </c>
      <c r="F301" s="16" t="inlineStr">
        <is>
          <t>CARAMELS D'ISIGNY</t>
        </is>
      </c>
      <c r="G301" s="16" t="inlineStr">
        <is>
          <t>CARAMELS D'ISIGNY</t>
        </is>
      </c>
      <c r="H301" s="16" t="inlineStr">
        <is>
          <t>150G</t>
        </is>
      </c>
      <c r="I301" s="16" t="inlineStr">
        <is>
          <t>150 g</t>
        </is>
      </c>
      <c r="J301" s="16" t="inlineStr">
        <is>
          <t>NON</t>
        </is>
      </c>
      <c r="K301" s="17" t="inlineStr">
        <is>
          <t>20 %</t>
        </is>
      </c>
      <c r="L301" s="18" t="n">
        <v>4.25</v>
      </c>
      <c r="M301" s="9" t="n">
        <v>10.2</v>
      </c>
      <c r="N301" s="10" t="inlineStr">
        <is>
          <t>PROPOSÉ</t>
        </is>
      </c>
      <c r="O301" s="11">
        <f>IF(M301="","",M301-L301)</f>
        <v/>
      </c>
      <c r="P301" s="12">
        <f>IF(OR(M301="",M301=0),"",(M301-L301)/M301)</f>
        <v/>
      </c>
      <c r="Q301" s="13">
        <f>IF(OR(M301="",L301=0,L301=""),"",M301/L301)</f>
        <v/>
      </c>
      <c r="R301" s="11">
        <f>IF(M301="","",M301*1.2)</f>
        <v/>
      </c>
      <c r="S301" s="14" t="n"/>
      <c r="T301" s="15" t="n"/>
    </row>
    <row r="302">
      <c r="A302" s="6" t="inlineStr">
        <is>
          <t>PROD-0541</t>
        </is>
      </c>
      <c r="B302" s="6" t="inlineStr">
        <is>
          <t>BOÎTE FER FONDANTS</t>
        </is>
      </c>
      <c r="C302" s="6" t="inlineStr">
        <is>
          <t>CONFISERIE</t>
        </is>
      </c>
      <c r="D302" s="6" t="inlineStr">
        <is>
          <t>CARAMEL</t>
        </is>
      </c>
      <c r="E302" s="6" t="inlineStr">
        <is>
          <t>ESSENTIEL</t>
        </is>
      </c>
      <c r="F302" s="6" t="inlineStr">
        <is>
          <t>CARAMELS D'ISIGNY</t>
        </is>
      </c>
      <c r="G302" s="6" t="inlineStr">
        <is>
          <t>CARAMELS D'ISIGNY</t>
        </is>
      </c>
      <c r="H302" s="6" t="inlineStr">
        <is>
          <t>100G</t>
        </is>
      </c>
      <c r="I302" s="6" t="inlineStr">
        <is>
          <t>100 g</t>
        </is>
      </c>
      <c r="J302" s="6" t="inlineStr">
        <is>
          <t>NON</t>
        </is>
      </c>
      <c r="K302" s="7" t="inlineStr">
        <is>
          <t>20 %</t>
        </is>
      </c>
      <c r="L302" s="8" t="n">
        <v>4.25</v>
      </c>
      <c r="M302" s="9" t="n">
        <v>10.2</v>
      </c>
      <c r="N302" s="10" t="inlineStr">
        <is>
          <t>PROPOSÉ</t>
        </is>
      </c>
      <c r="O302" s="11">
        <f>IF(M302="","",M302-L302)</f>
        <v/>
      </c>
      <c r="P302" s="12">
        <f>IF(OR(M302="",M302=0),"",(M302-L302)/M302)</f>
        <v/>
      </c>
      <c r="Q302" s="13">
        <f>IF(OR(M302="",L302=0,L302=""),"",M302/L302)</f>
        <v/>
      </c>
      <c r="R302" s="11">
        <f>IF(M302="","",M302*1.2)</f>
        <v/>
      </c>
      <c r="S302" s="14" t="n"/>
      <c r="T302" s="15" t="n"/>
    </row>
    <row r="303">
      <c r="A303" s="16" t="inlineStr">
        <is>
          <t>PROD-0542</t>
        </is>
      </c>
      <c r="B303" s="16" t="inlineStr">
        <is>
          <t>BOÎTE FER BEURRE SALÉ</t>
        </is>
      </c>
      <c r="C303" s="16" t="inlineStr">
        <is>
          <t>CONFISERIE</t>
        </is>
      </c>
      <c r="D303" s="16" t="inlineStr">
        <is>
          <t>CARAMEL</t>
        </is>
      </c>
      <c r="E303" s="16" t="inlineStr">
        <is>
          <t>ESSENTIEL</t>
        </is>
      </c>
      <c r="F303" s="16" t="inlineStr">
        <is>
          <t>CARAMELS D'ISIGNY</t>
        </is>
      </c>
      <c r="G303" s="16" t="inlineStr">
        <is>
          <t>CARAMELS D'ISIGNY</t>
        </is>
      </c>
      <c r="H303" s="16" t="inlineStr">
        <is>
          <t>100G</t>
        </is>
      </c>
      <c r="I303" s="16" t="inlineStr">
        <is>
          <t>100 g</t>
        </is>
      </c>
      <c r="J303" s="16" t="inlineStr">
        <is>
          <t>NON</t>
        </is>
      </c>
      <c r="K303" s="17" t="inlineStr">
        <is>
          <t>20 %</t>
        </is>
      </c>
      <c r="L303" s="18" t="n">
        <v>4.25</v>
      </c>
      <c r="M303" s="9" t="n">
        <v>10.2</v>
      </c>
      <c r="N303" s="10" t="inlineStr">
        <is>
          <t>PROPOSÉ</t>
        </is>
      </c>
      <c r="O303" s="11">
        <f>IF(M303="","",M303-L303)</f>
        <v/>
      </c>
      <c r="P303" s="12">
        <f>IF(OR(M303="",M303=0),"",(M303-L303)/M303)</f>
        <v/>
      </c>
      <c r="Q303" s="13">
        <f>IF(OR(M303="",L303=0,L303=""),"",M303/L303)</f>
        <v/>
      </c>
      <c r="R303" s="11">
        <f>IF(M303="","",M303*1.2)</f>
        <v/>
      </c>
      <c r="S303" s="14" t="n"/>
      <c r="T303" s="15" t="n"/>
    </row>
    <row r="304">
      <c r="A304" s="6" t="inlineStr">
        <is>
          <t>PROD-0543</t>
        </is>
      </c>
      <c r="B304" s="6" t="inlineStr">
        <is>
          <t>BOÎTE FER ASSORTIMENT NORMANDIE</t>
        </is>
      </c>
      <c r="C304" s="6" t="inlineStr">
        <is>
          <t>CONFISERIE</t>
        </is>
      </c>
      <c r="D304" s="6" t="inlineStr">
        <is>
          <t>CARAMEL</t>
        </is>
      </c>
      <c r="E304" s="6" t="inlineStr">
        <is>
          <t>ESSENTIEL</t>
        </is>
      </c>
      <c r="F304" s="6" t="inlineStr">
        <is>
          <t>CARAMELS D'ISIGNY</t>
        </is>
      </c>
      <c r="G304" s="6" t="inlineStr">
        <is>
          <t>CARAMELS D'ISIGNY</t>
        </is>
      </c>
      <c r="H304" s="6" t="inlineStr">
        <is>
          <t>100G</t>
        </is>
      </c>
      <c r="I304" s="6" t="inlineStr">
        <is>
          <t>100 g</t>
        </is>
      </c>
      <c r="J304" s="6" t="inlineStr">
        <is>
          <t>NON</t>
        </is>
      </c>
      <c r="K304" s="7" t="inlineStr">
        <is>
          <t>20 %</t>
        </is>
      </c>
      <c r="L304" s="8" t="n">
        <v>4.25</v>
      </c>
      <c r="M304" s="9" t="n">
        <v>10.2</v>
      </c>
      <c r="N304" s="10" t="inlineStr">
        <is>
          <t>PROPOSÉ</t>
        </is>
      </c>
      <c r="O304" s="11">
        <f>IF(M304="","",M304-L304)</f>
        <v/>
      </c>
      <c r="P304" s="12">
        <f>IF(OR(M304="",M304=0),"",(M304-L304)/M304)</f>
        <v/>
      </c>
      <c r="Q304" s="13">
        <f>IF(OR(M304="",L304=0,L304=""),"",M304/L304)</f>
        <v/>
      </c>
      <c r="R304" s="11">
        <f>IF(M304="","",M304*1.2)</f>
        <v/>
      </c>
      <c r="S304" s="14" t="n"/>
      <c r="T304" s="15" t="n"/>
    </row>
    <row r="305">
      <c r="A305" s="16" t="inlineStr">
        <is>
          <t>PROD-0567</t>
        </is>
      </c>
      <c r="B305" s="16" t="inlineStr">
        <is>
          <t>ASSORTIMENT TRADITION</t>
        </is>
      </c>
      <c r="C305" s="16" t="inlineStr">
        <is>
          <t>CONFISERIE</t>
        </is>
      </c>
      <c r="D305" s="16" t="inlineStr">
        <is>
          <t>CARAMEL</t>
        </is>
      </c>
      <c r="E305" s="16" t="inlineStr">
        <is>
          <t>ESSENTIEL</t>
        </is>
      </c>
      <c r="F305" s="16" t="inlineStr">
        <is>
          <t>CARAMELS D'ISIGNY</t>
        </is>
      </c>
      <c r="G305" s="16" t="inlineStr">
        <is>
          <t>CARAMELS D'ISIGNY</t>
        </is>
      </c>
      <c r="H305" s="16" t="inlineStr">
        <is>
          <t>140G</t>
        </is>
      </c>
      <c r="I305" s="16" t="inlineStr">
        <is>
          <t>140 g</t>
        </is>
      </c>
      <c r="J305" s="16" t="inlineStr">
        <is>
          <t>NON</t>
        </is>
      </c>
      <c r="K305" s="17" t="inlineStr">
        <is>
          <t>20 %</t>
        </is>
      </c>
      <c r="L305" s="18" t="n">
        <v>4.15</v>
      </c>
      <c r="M305" s="9" t="n">
        <v>10</v>
      </c>
      <c r="N305" s="10" t="inlineStr">
        <is>
          <t>PROPOSÉ</t>
        </is>
      </c>
      <c r="O305" s="11">
        <f>IF(M305="","",M305-L305)</f>
        <v/>
      </c>
      <c r="P305" s="12">
        <f>IF(OR(M305="",M305=0),"",(M305-L305)/M305)</f>
        <v/>
      </c>
      <c r="Q305" s="13">
        <f>IF(OR(M305="",L305=0,L305=""),"",M305/L305)</f>
        <v/>
      </c>
      <c r="R305" s="11">
        <f>IF(M305="","",M305*1.2)</f>
        <v/>
      </c>
      <c r="S305" s="14" t="n"/>
      <c r="T305" s="15" t="n"/>
    </row>
    <row r="306">
      <c r="A306" s="6" t="inlineStr">
        <is>
          <t>PROD-0568</t>
        </is>
      </c>
      <c r="B306" s="6" t="inlineStr">
        <is>
          <t>ASSORTIMENT NORMANDIE</t>
        </is>
      </c>
      <c r="C306" s="6" t="inlineStr">
        <is>
          <t>CONFISERIE</t>
        </is>
      </c>
      <c r="D306" s="6" t="inlineStr">
        <is>
          <t>CARAMEL</t>
        </is>
      </c>
      <c r="E306" s="6" t="inlineStr">
        <is>
          <t>ESSENTIEL</t>
        </is>
      </c>
      <c r="F306" s="6" t="inlineStr">
        <is>
          <t>CARAMELS D'ISIGNY</t>
        </is>
      </c>
      <c r="G306" s="6" t="inlineStr">
        <is>
          <t>CARAMELS D'ISIGNY</t>
        </is>
      </c>
      <c r="H306" s="6" t="inlineStr">
        <is>
          <t>140G</t>
        </is>
      </c>
      <c r="I306" s="6" t="inlineStr">
        <is>
          <t>140 g</t>
        </is>
      </c>
      <c r="J306" s="6" t="inlineStr">
        <is>
          <t>NON</t>
        </is>
      </c>
      <c r="K306" s="7" t="inlineStr">
        <is>
          <t>20 %</t>
        </is>
      </c>
      <c r="L306" s="8" t="n">
        <v>4.15</v>
      </c>
      <c r="M306" s="9" t="n">
        <v>10</v>
      </c>
      <c r="N306" s="10" t="inlineStr">
        <is>
          <t>PROPOSÉ</t>
        </is>
      </c>
      <c r="O306" s="11">
        <f>IF(M306="","",M306-L306)</f>
        <v/>
      </c>
      <c r="P306" s="12">
        <f>IF(OR(M306="",M306=0),"",(M306-L306)/M306)</f>
        <v/>
      </c>
      <c r="Q306" s="13">
        <f>IF(OR(M306="",L306=0,L306=""),"",M306/L306)</f>
        <v/>
      </c>
      <c r="R306" s="11">
        <f>IF(M306="","",M306*1.2)</f>
        <v/>
      </c>
      <c r="S306" s="14" t="n"/>
      <c r="T306" s="15" t="n"/>
    </row>
    <row r="307">
      <c r="A307" s="16" t="inlineStr">
        <is>
          <t>PROD-0569</t>
        </is>
      </c>
      <c r="B307" s="16" t="inlineStr">
        <is>
          <t>ASSORTIMENT 5 FRUITS</t>
        </is>
      </c>
      <c r="C307" s="16" t="inlineStr">
        <is>
          <t>CONFISERIE</t>
        </is>
      </c>
      <c r="D307" s="16" t="inlineStr">
        <is>
          <t>CARAMEL</t>
        </is>
      </c>
      <c r="E307" s="16" t="inlineStr">
        <is>
          <t>ESSENTIEL</t>
        </is>
      </c>
      <c r="F307" s="16" t="inlineStr">
        <is>
          <t>CARAMELS D'ISIGNY</t>
        </is>
      </c>
      <c r="G307" s="16" t="inlineStr">
        <is>
          <t>CARAMELS D'ISIGNY</t>
        </is>
      </c>
      <c r="H307" s="16" t="inlineStr">
        <is>
          <t>140G</t>
        </is>
      </c>
      <c r="I307" s="16" t="inlineStr">
        <is>
          <t>140 g</t>
        </is>
      </c>
      <c r="J307" s="16" t="inlineStr">
        <is>
          <t>NON</t>
        </is>
      </c>
      <c r="K307" s="17" t="inlineStr">
        <is>
          <t>20 %</t>
        </is>
      </c>
      <c r="L307" s="18" t="n">
        <v>4.15</v>
      </c>
      <c r="M307" s="9" t="n">
        <v>10</v>
      </c>
      <c r="N307" s="10" t="inlineStr">
        <is>
          <t>PROPOSÉ</t>
        </is>
      </c>
      <c r="O307" s="11">
        <f>IF(M307="","",M307-L307)</f>
        <v/>
      </c>
      <c r="P307" s="12">
        <f>IF(OR(M307="",M307=0),"",(M307-L307)/M307)</f>
        <v/>
      </c>
      <c r="Q307" s="13">
        <f>IF(OR(M307="",L307=0,L307=""),"",M307/L307)</f>
        <v/>
      </c>
      <c r="R307" s="11">
        <f>IF(M307="","",M307*1.2)</f>
        <v/>
      </c>
      <c r="S307" s="14" t="n"/>
      <c r="T307" s="15" t="n"/>
    </row>
    <row r="308">
      <c r="A308" s="6" t="inlineStr">
        <is>
          <t>PROD-0570</t>
        </is>
      </c>
      <c r="B308" s="6" t="inlineStr">
        <is>
          <t>BEURRE SALÉ</t>
        </is>
      </c>
      <c r="C308" s="6" t="inlineStr">
        <is>
          <t>CONFISERIE</t>
        </is>
      </c>
      <c r="D308" s="6" t="inlineStr">
        <is>
          <t>CARAMEL</t>
        </is>
      </c>
      <c r="E308" s="6" t="inlineStr">
        <is>
          <t>ESSENTIEL</t>
        </is>
      </c>
      <c r="F308" s="6" t="inlineStr">
        <is>
          <t>CARAMELS D'ISIGNY</t>
        </is>
      </c>
      <c r="G308" s="6" t="inlineStr">
        <is>
          <t>CARAMELS D'ISIGNY</t>
        </is>
      </c>
      <c r="H308" s="6" t="inlineStr">
        <is>
          <t>140G</t>
        </is>
      </c>
      <c r="I308" s="6" t="inlineStr">
        <is>
          <t>140 g</t>
        </is>
      </c>
      <c r="J308" s="6" t="inlineStr">
        <is>
          <t>NON</t>
        </is>
      </c>
      <c r="K308" s="7" t="inlineStr">
        <is>
          <t>20 %</t>
        </is>
      </c>
      <c r="L308" s="8" t="n">
        <v>4.15</v>
      </c>
      <c r="M308" s="9" t="n">
        <v>10</v>
      </c>
      <c r="N308" s="10" t="inlineStr">
        <is>
          <t>PROPOSÉ</t>
        </is>
      </c>
      <c r="O308" s="11">
        <f>IF(M308="","",M308-L308)</f>
        <v/>
      </c>
      <c r="P308" s="12">
        <f>IF(OR(M308="",M308=0),"",(M308-L308)/M308)</f>
        <v/>
      </c>
      <c r="Q308" s="13">
        <f>IF(OR(M308="",L308=0,L308=""),"",M308/L308)</f>
        <v/>
      </c>
      <c r="R308" s="11">
        <f>IF(M308="","",M308*1.2)</f>
        <v/>
      </c>
      <c r="S308" s="14" t="n"/>
      <c r="T308" s="15" t="n"/>
    </row>
    <row r="309">
      <c r="A309" s="16" t="inlineStr">
        <is>
          <t>PROD-0571</t>
        </is>
      </c>
      <c r="B309" s="16" t="inlineStr">
        <is>
          <t>ASSORTIMENT FONDANTS</t>
        </is>
      </c>
      <c r="C309" s="16" t="inlineStr">
        <is>
          <t>CONFISERIE</t>
        </is>
      </c>
      <c r="D309" s="16" t="inlineStr">
        <is>
          <t>CARAMEL</t>
        </is>
      </c>
      <c r="E309" s="16" t="inlineStr">
        <is>
          <t>ESSENTIEL</t>
        </is>
      </c>
      <c r="F309" s="16" t="inlineStr">
        <is>
          <t>CARAMELS D'ISIGNY</t>
        </is>
      </c>
      <c r="G309" s="16" t="inlineStr">
        <is>
          <t>CARAMELS D'ISIGNY</t>
        </is>
      </c>
      <c r="H309" s="16" t="inlineStr">
        <is>
          <t>140G</t>
        </is>
      </c>
      <c r="I309" s="16" t="inlineStr">
        <is>
          <t>140 g</t>
        </is>
      </c>
      <c r="J309" s="16" t="inlineStr">
        <is>
          <t>NON</t>
        </is>
      </c>
      <c r="K309" s="17" t="inlineStr">
        <is>
          <t>20 %</t>
        </is>
      </c>
      <c r="L309" s="18" t="n">
        <v>4.15</v>
      </c>
      <c r="M309" s="9" t="n">
        <v>10</v>
      </c>
      <c r="N309" s="10" t="inlineStr">
        <is>
          <t>PROPOSÉ</t>
        </is>
      </c>
      <c r="O309" s="11">
        <f>IF(M309="","",M309-L309)</f>
        <v/>
      </c>
      <c r="P309" s="12">
        <f>IF(OR(M309="",M309=0),"",(M309-L309)/M309)</f>
        <v/>
      </c>
      <c r="Q309" s="13">
        <f>IF(OR(M309="",L309=0,L309=""),"",M309/L309)</f>
        <v/>
      </c>
      <c r="R309" s="11">
        <f>IF(M309="","",M309*1.2)</f>
        <v/>
      </c>
      <c r="S309" s="14" t="n"/>
      <c r="T309" s="15" t="n"/>
    </row>
    <row r="310">
      <c r="A310" s="6" t="inlineStr">
        <is>
          <t>PROD-0463</t>
        </is>
      </c>
      <c r="B310" s="6" t="inlineStr">
        <is>
          <t>Bonbons Fourrés au Miel 250gr</t>
        </is>
      </c>
      <c r="C310" s="6" t="inlineStr">
        <is>
          <t>CONFISERIE</t>
        </is>
      </c>
      <c r="D310" s="6" t="inlineStr">
        <is>
          <t>BONBON_ET_CONFISERIE</t>
        </is>
      </c>
      <c r="E310" s="6" t="inlineStr">
        <is>
          <t>ESSENTIEL</t>
        </is>
      </c>
      <c r="F310" s="6" t="inlineStr">
        <is>
          <t>Rucher du bocage Virois</t>
        </is>
      </c>
      <c r="G310" s="6" t="inlineStr">
        <is>
          <t>NORMAND DIRECT TERROIR</t>
        </is>
      </c>
      <c r="H310" s="6" t="inlineStr"/>
      <c r="I310" s="6" t="inlineStr">
        <is>
          <t>250 g</t>
        </is>
      </c>
      <c r="J310" s="6" t="inlineStr">
        <is>
          <t>NON</t>
        </is>
      </c>
      <c r="K310" s="7" t="inlineStr">
        <is>
          <t>20 %</t>
        </is>
      </c>
      <c r="L310" s="8" t="n">
        <v>4</v>
      </c>
      <c r="M310" s="9" t="n">
        <v>9.6</v>
      </c>
      <c r="N310" s="10" t="inlineStr">
        <is>
          <t>PROPOSÉ</t>
        </is>
      </c>
      <c r="O310" s="11">
        <f>IF(M310="","",M310-L310)</f>
        <v/>
      </c>
      <c r="P310" s="12">
        <f>IF(OR(M310="",M310=0),"",(M310-L310)/M310)</f>
        <v/>
      </c>
      <c r="Q310" s="13">
        <f>IF(OR(M310="",L310=0,L310=""),"",M310/L310)</f>
        <v/>
      </c>
      <c r="R310" s="11">
        <f>IF(M310="","",M310*1.2)</f>
        <v/>
      </c>
      <c r="S310" s="14" t="n"/>
      <c r="T310" s="15" t="n"/>
    </row>
    <row r="311">
      <c r="A311" s="16" t="inlineStr">
        <is>
          <t>PROD-0465</t>
        </is>
      </c>
      <c r="B311" s="16" t="inlineStr">
        <is>
          <t>Nougat tendre Amandes Noisettes 100gr</t>
        </is>
      </c>
      <c r="C311" s="16" t="inlineStr">
        <is>
          <t>CONFISERIE</t>
        </is>
      </c>
      <c r="D311" s="16" t="inlineStr">
        <is>
          <t>BONBON_ET_CONFISERIE</t>
        </is>
      </c>
      <c r="E311" s="16" t="inlineStr">
        <is>
          <t>ESSENTIEL</t>
        </is>
      </c>
      <c r="F311" s="16" t="inlineStr">
        <is>
          <t>Rucher du bocage Virois</t>
        </is>
      </c>
      <c r="G311" s="16" t="inlineStr">
        <is>
          <t>NORMAND DIRECT TERROIR</t>
        </is>
      </c>
      <c r="H311" s="16" t="inlineStr"/>
      <c r="I311" s="16" t="inlineStr">
        <is>
          <t>100 g</t>
        </is>
      </c>
      <c r="J311" s="16" t="inlineStr">
        <is>
          <t>NON</t>
        </is>
      </c>
      <c r="K311" s="17" t="inlineStr">
        <is>
          <t>20 %</t>
        </is>
      </c>
      <c r="L311" s="18" t="n">
        <v>4</v>
      </c>
      <c r="M311" s="9" t="n">
        <v>9.6</v>
      </c>
      <c r="N311" s="10" t="inlineStr">
        <is>
          <t>PROPOSÉ</t>
        </is>
      </c>
      <c r="O311" s="11">
        <f>IF(M311="","",M311-L311)</f>
        <v/>
      </c>
      <c r="P311" s="12">
        <f>IF(OR(M311="",M311=0),"",(M311-L311)/M311)</f>
        <v/>
      </c>
      <c r="Q311" s="13">
        <f>IF(OR(M311="",L311=0,L311=""),"",M311/L311)</f>
        <v/>
      </c>
      <c r="R311" s="11">
        <f>IF(M311="","",M311*1.2)</f>
        <v/>
      </c>
      <c r="S311" s="14" t="n"/>
      <c r="T311" s="15" t="n"/>
    </row>
    <row r="312">
      <c r="A312" s="6" t="inlineStr">
        <is>
          <t>PROD-0536</t>
        </is>
      </c>
      <c r="B312" s="6" t="inlineStr">
        <is>
          <t>SACHET NŒUD "GOÛT TATIN"</t>
        </is>
      </c>
      <c r="C312" s="6" t="inlineStr">
        <is>
          <t>CONFISERIE</t>
        </is>
      </c>
      <c r="D312" s="6" t="inlineStr">
        <is>
          <t>CARAMEL</t>
        </is>
      </c>
      <c r="E312" s="6" t="inlineStr">
        <is>
          <t>ESSENTIEL</t>
        </is>
      </c>
      <c r="F312" s="6" t="inlineStr">
        <is>
          <t>CARAMELS D'ISIGNY</t>
        </is>
      </c>
      <c r="G312" s="6" t="inlineStr">
        <is>
          <t>CARAMELS D'ISIGNY</t>
        </is>
      </c>
      <c r="H312" s="6" t="inlineStr">
        <is>
          <t>150G</t>
        </is>
      </c>
      <c r="I312" s="6" t="inlineStr">
        <is>
          <t>150 g</t>
        </is>
      </c>
      <c r="J312" s="6" t="inlineStr">
        <is>
          <t>NON</t>
        </is>
      </c>
      <c r="K312" s="7" t="inlineStr">
        <is>
          <t>20 %</t>
        </is>
      </c>
      <c r="L312" s="8" t="n">
        <v>3.85</v>
      </c>
      <c r="M312" s="9" t="n">
        <v>9.199999999999999</v>
      </c>
      <c r="N312" s="10" t="inlineStr">
        <is>
          <t>PROPOSÉ</t>
        </is>
      </c>
      <c r="O312" s="11">
        <f>IF(M312="","",M312-L312)</f>
        <v/>
      </c>
      <c r="P312" s="12">
        <f>IF(OR(M312="",M312=0),"",(M312-L312)/M312)</f>
        <v/>
      </c>
      <c r="Q312" s="13">
        <f>IF(OR(M312="",L312=0,L312=""),"",M312/L312)</f>
        <v/>
      </c>
      <c r="R312" s="11">
        <f>IF(M312="","",M312*1.2)</f>
        <v/>
      </c>
      <c r="S312" s="14" t="n"/>
      <c r="T312" s="15" t="n"/>
    </row>
    <row r="313">
      <c r="A313" s="16" t="inlineStr">
        <is>
          <t>PROD-0460</t>
        </is>
      </c>
      <c r="B313" s="16" t="inlineStr">
        <is>
          <t>Bonbons au Miel 250gr</t>
        </is>
      </c>
      <c r="C313" s="16" t="inlineStr">
        <is>
          <t>CONFISERIE</t>
        </is>
      </c>
      <c r="D313" s="16" t="inlineStr">
        <is>
          <t>BONBON_ET_CONFISERIE</t>
        </is>
      </c>
      <c r="E313" s="16" t="inlineStr">
        <is>
          <t>ESSENTIEL</t>
        </is>
      </c>
      <c r="F313" s="16" t="inlineStr">
        <is>
          <t>Rucher du bocage Virois</t>
        </is>
      </c>
      <c r="G313" s="16" t="inlineStr">
        <is>
          <t>NORMAND DIRECT TERROIR</t>
        </is>
      </c>
      <c r="H313" s="16" t="inlineStr"/>
      <c r="I313" s="16" t="inlineStr">
        <is>
          <t>250 g</t>
        </is>
      </c>
      <c r="J313" s="16" t="inlineStr">
        <is>
          <t>NON</t>
        </is>
      </c>
      <c r="K313" s="17" t="inlineStr">
        <is>
          <t>20 %</t>
        </is>
      </c>
      <c r="L313" s="18" t="n">
        <v>3.75</v>
      </c>
      <c r="M313" s="9" t="n">
        <v>9</v>
      </c>
      <c r="N313" s="10" t="inlineStr">
        <is>
          <t>PROPOSÉ</t>
        </is>
      </c>
      <c r="O313" s="11">
        <f>IF(M313="","",M313-L313)</f>
        <v/>
      </c>
      <c r="P313" s="12">
        <f>IF(OR(M313="",M313=0),"",(M313-L313)/M313)</f>
        <v/>
      </c>
      <c r="Q313" s="13">
        <f>IF(OR(M313="",L313=0,L313=""),"",M313/L313)</f>
        <v/>
      </c>
      <c r="R313" s="11">
        <f>IF(M313="","",M313*1.2)</f>
        <v/>
      </c>
      <c r="S313" s="14" t="n"/>
      <c r="T313" s="15" t="n"/>
    </row>
    <row r="314">
      <c r="A314" s="6" t="inlineStr">
        <is>
          <t>PROD-0461</t>
        </is>
      </c>
      <c r="B314" s="6" t="inlineStr">
        <is>
          <t>Bonbons au Miel et Eucalyptus 250gr</t>
        </is>
      </c>
      <c r="C314" s="6" t="inlineStr">
        <is>
          <t>CONFISERIE</t>
        </is>
      </c>
      <c r="D314" s="6" t="inlineStr">
        <is>
          <t>BONBON_ET_CONFISERIE</t>
        </is>
      </c>
      <c r="E314" s="6" t="inlineStr">
        <is>
          <t>ESSENTIEL</t>
        </is>
      </c>
      <c r="F314" s="6" t="inlineStr">
        <is>
          <t>Rucher du bocage Virois</t>
        </is>
      </c>
      <c r="G314" s="6" t="inlineStr">
        <is>
          <t>NORMAND DIRECT TERROIR</t>
        </is>
      </c>
      <c r="H314" s="6" t="inlineStr"/>
      <c r="I314" s="6" t="inlineStr">
        <is>
          <t>250 g</t>
        </is>
      </c>
      <c r="J314" s="6" t="inlineStr">
        <is>
          <t>NON</t>
        </is>
      </c>
      <c r="K314" s="7" t="inlineStr">
        <is>
          <t>20 %</t>
        </is>
      </c>
      <c r="L314" s="8" t="n">
        <v>3.75</v>
      </c>
      <c r="M314" s="9" t="n">
        <v>9</v>
      </c>
      <c r="N314" s="10" t="inlineStr">
        <is>
          <t>PROPOSÉ</t>
        </is>
      </c>
      <c r="O314" s="11">
        <f>IF(M314="","",M314-L314)</f>
        <v/>
      </c>
      <c r="P314" s="12">
        <f>IF(OR(M314="",M314=0),"",(M314-L314)/M314)</f>
        <v/>
      </c>
      <c r="Q314" s="13">
        <f>IF(OR(M314="",L314=0,L314=""),"",M314/L314)</f>
        <v/>
      </c>
      <c r="R314" s="11">
        <f>IF(M314="","",M314*1.2)</f>
        <v/>
      </c>
      <c r="S314" s="14" t="n"/>
      <c r="T314" s="15" t="n"/>
    </row>
    <row r="315">
      <c r="A315" s="16" t="inlineStr">
        <is>
          <t>PROD-0462</t>
        </is>
      </c>
      <c r="B315" s="16" t="inlineStr">
        <is>
          <t>Bonbons au Miel et Sève de Pin 250gr</t>
        </is>
      </c>
      <c r="C315" s="16" t="inlineStr">
        <is>
          <t>CONFISERIE</t>
        </is>
      </c>
      <c r="D315" s="16" t="inlineStr">
        <is>
          <t>BONBON_ET_CONFISERIE</t>
        </is>
      </c>
      <c r="E315" s="16" t="inlineStr">
        <is>
          <t>ESSENTIEL</t>
        </is>
      </c>
      <c r="F315" s="16" t="inlineStr">
        <is>
          <t>Rucher du bocage Virois</t>
        </is>
      </c>
      <c r="G315" s="16" t="inlineStr">
        <is>
          <t>NORMAND DIRECT TERROIR</t>
        </is>
      </c>
      <c r="H315" s="16" t="inlineStr"/>
      <c r="I315" s="16" t="inlineStr">
        <is>
          <t>250 g</t>
        </is>
      </c>
      <c r="J315" s="16" t="inlineStr">
        <is>
          <t>NON</t>
        </is>
      </c>
      <c r="K315" s="17" t="inlineStr">
        <is>
          <t>20 %</t>
        </is>
      </c>
      <c r="L315" s="18" t="n">
        <v>3.75</v>
      </c>
      <c r="M315" s="9" t="n">
        <v>9</v>
      </c>
      <c r="N315" s="10" t="inlineStr">
        <is>
          <t>PROPOSÉ</t>
        </is>
      </c>
      <c r="O315" s="11">
        <f>IF(M315="","",M315-L315)</f>
        <v/>
      </c>
      <c r="P315" s="12">
        <f>IF(OR(M315="",M315=0),"",(M315-L315)/M315)</f>
        <v/>
      </c>
      <c r="Q315" s="13">
        <f>IF(OR(M315="",L315=0,L315=""),"",M315/L315)</f>
        <v/>
      </c>
      <c r="R315" s="11">
        <f>IF(M315="","",M315*1.2)</f>
        <v/>
      </c>
      <c r="S315" s="14" t="n"/>
      <c r="T315" s="15" t="n"/>
    </row>
    <row r="316">
      <c r="A316" s="6" t="inlineStr">
        <is>
          <t>PROD-0654</t>
        </is>
      </c>
      <c r="B316" s="6" t="inlineStr">
        <is>
          <t>DOYPACK POP CORN</t>
        </is>
      </c>
      <c r="C316" s="6" t="inlineStr">
        <is>
          <t>CONFISERIE</t>
        </is>
      </c>
      <c r="D316" s="6" t="inlineStr">
        <is>
          <t>BONBON_ET_CONFISERIE</t>
        </is>
      </c>
      <c r="E316" s="6" t="inlineStr">
        <is>
          <t>ESSENTIEL</t>
        </is>
      </c>
      <c r="F316" s="6" t="inlineStr">
        <is>
          <t>CARAMELS D'ISIGNY</t>
        </is>
      </c>
      <c r="G316" s="6" t="inlineStr">
        <is>
          <t>CARAMELS D'ISIGNY</t>
        </is>
      </c>
      <c r="H316" s="6" t="inlineStr">
        <is>
          <t>140G</t>
        </is>
      </c>
      <c r="I316" s="6" t="inlineStr">
        <is>
          <t>140 g</t>
        </is>
      </c>
      <c r="J316" s="6" t="inlineStr">
        <is>
          <t>NON</t>
        </is>
      </c>
      <c r="K316" s="7" t="inlineStr">
        <is>
          <t>5.5 %</t>
        </is>
      </c>
      <c r="L316" s="8" t="n">
        <v>3.72</v>
      </c>
      <c r="M316" s="9" t="n">
        <v>8.9</v>
      </c>
      <c r="N316" s="10" t="inlineStr">
        <is>
          <t>PROPOSÉ</t>
        </is>
      </c>
      <c r="O316" s="11">
        <f>IF(M316="","",M316-L316)</f>
        <v/>
      </c>
      <c r="P316" s="12">
        <f>IF(OR(M316="",M316=0),"",(M316-L316)/M316)</f>
        <v/>
      </c>
      <c r="Q316" s="13">
        <f>IF(OR(M316="",L316=0,L316=""),"",M316/L316)</f>
        <v/>
      </c>
      <c r="R316" s="11">
        <f>IF(M316="","",M316*1.055)</f>
        <v/>
      </c>
      <c r="S316" s="14" t="n"/>
      <c r="T316" s="15" t="n"/>
    </row>
    <row r="317">
      <c r="A317" s="16" t="inlineStr">
        <is>
          <t>PROD-0537</t>
        </is>
      </c>
      <c r="B317" s="16" t="inlineStr">
        <is>
          <t>BOÎTE CUBE BEURRE SALÉ</t>
        </is>
      </c>
      <c r="C317" s="16" t="inlineStr">
        <is>
          <t>CONFISERIE</t>
        </is>
      </c>
      <c r="D317" s="16" t="inlineStr">
        <is>
          <t>CARAMEL</t>
        </is>
      </c>
      <c r="E317" s="16" t="inlineStr">
        <is>
          <t>ESSENTIEL</t>
        </is>
      </c>
      <c r="F317" s="16" t="inlineStr">
        <is>
          <t>CARAMELS D'ISIGNY</t>
        </is>
      </c>
      <c r="G317" s="16" t="inlineStr">
        <is>
          <t>CARAMELS D'ISIGNY</t>
        </is>
      </c>
      <c r="H317" s="16" t="inlineStr">
        <is>
          <t>100G</t>
        </is>
      </c>
      <c r="I317" s="16" t="inlineStr">
        <is>
          <t>100 g</t>
        </is>
      </c>
      <c r="J317" s="16" t="inlineStr">
        <is>
          <t>NON</t>
        </is>
      </c>
      <c r="K317" s="17" t="inlineStr">
        <is>
          <t>20 %</t>
        </is>
      </c>
      <c r="L317" s="18" t="n">
        <v>3.4</v>
      </c>
      <c r="M317" s="9" t="n">
        <v>8.199999999999999</v>
      </c>
      <c r="N317" s="10" t="inlineStr">
        <is>
          <t>PROPOSÉ</t>
        </is>
      </c>
      <c r="O317" s="11">
        <f>IF(M317="","",M317-L317)</f>
        <v/>
      </c>
      <c r="P317" s="12">
        <f>IF(OR(M317="",M317=0),"",(M317-L317)/M317)</f>
        <v/>
      </c>
      <c r="Q317" s="13">
        <f>IF(OR(M317="",L317=0,L317=""),"",M317/L317)</f>
        <v/>
      </c>
      <c r="R317" s="11">
        <f>IF(M317="","",M317*1.2)</f>
        <v/>
      </c>
      <c r="S317" s="14" t="n"/>
      <c r="T317" s="15" t="n"/>
    </row>
    <row r="318">
      <c r="A318" s="6" t="inlineStr">
        <is>
          <t>PROD-0538</t>
        </is>
      </c>
      <c r="B318" s="6" t="inlineStr">
        <is>
          <t>BOÎTE CUBE FONDANTS BEURRE SALÉ</t>
        </is>
      </c>
      <c r="C318" s="6" t="inlineStr">
        <is>
          <t>CONFISERIE</t>
        </is>
      </c>
      <c r="D318" s="6" t="inlineStr">
        <is>
          <t>CARAMEL</t>
        </is>
      </c>
      <c r="E318" s="6" t="inlineStr">
        <is>
          <t>ESSENTIEL</t>
        </is>
      </c>
      <c r="F318" s="6" t="inlineStr">
        <is>
          <t>CARAMELS D'ISIGNY</t>
        </is>
      </c>
      <c r="G318" s="6" t="inlineStr">
        <is>
          <t>CARAMELS D'ISIGNY</t>
        </is>
      </c>
      <c r="H318" s="6" t="inlineStr">
        <is>
          <t>100G</t>
        </is>
      </c>
      <c r="I318" s="6" t="inlineStr">
        <is>
          <t>100 g</t>
        </is>
      </c>
      <c r="J318" s="6" t="inlineStr">
        <is>
          <t>NON</t>
        </is>
      </c>
      <c r="K318" s="7" t="inlineStr">
        <is>
          <t>20 %</t>
        </is>
      </c>
      <c r="L318" s="8" t="n">
        <v>3.4</v>
      </c>
      <c r="M318" s="9" t="n">
        <v>8.199999999999999</v>
      </c>
      <c r="N318" s="10" t="inlineStr">
        <is>
          <t>PROPOSÉ</t>
        </is>
      </c>
      <c r="O318" s="11">
        <f>IF(M318="","",M318-L318)</f>
        <v/>
      </c>
      <c r="P318" s="12">
        <f>IF(OR(M318="",M318=0),"",(M318-L318)/M318)</f>
        <v/>
      </c>
      <c r="Q318" s="13">
        <f>IF(OR(M318="",L318=0,L318=""),"",M318/L318)</f>
        <v/>
      </c>
      <c r="R318" s="11">
        <f>IF(M318="","",M318*1.2)</f>
        <v/>
      </c>
      <c r="S318" s="14" t="n"/>
      <c r="T318" s="15" t="n"/>
    </row>
    <row r="319">
      <c r="A319" s="16" t="inlineStr">
        <is>
          <t>PROD-0539</t>
        </is>
      </c>
      <c r="B319" s="16" t="inlineStr">
        <is>
          <t>BOÎTE CUBE ASSORTIMENT TRADITION</t>
        </is>
      </c>
      <c r="C319" s="16" t="inlineStr">
        <is>
          <t>CONFISERIE</t>
        </is>
      </c>
      <c r="D319" s="16" t="inlineStr">
        <is>
          <t>CARAMEL</t>
        </is>
      </c>
      <c r="E319" s="16" t="inlineStr">
        <is>
          <t>ESSENTIEL</t>
        </is>
      </c>
      <c r="F319" s="16" t="inlineStr">
        <is>
          <t>CARAMELS D'ISIGNY</t>
        </is>
      </c>
      <c r="G319" s="16" t="inlineStr">
        <is>
          <t>CARAMELS D'ISIGNY</t>
        </is>
      </c>
      <c r="H319" s="16" t="inlineStr">
        <is>
          <t>100G</t>
        </is>
      </c>
      <c r="I319" s="16" t="inlineStr">
        <is>
          <t>100 g</t>
        </is>
      </c>
      <c r="J319" s="16" t="inlineStr">
        <is>
          <t>NON</t>
        </is>
      </c>
      <c r="K319" s="17" t="inlineStr">
        <is>
          <t>20 %</t>
        </is>
      </c>
      <c r="L319" s="18" t="n">
        <v>3.4</v>
      </c>
      <c r="M319" s="9" t="n">
        <v>8.199999999999999</v>
      </c>
      <c r="N319" s="10" t="inlineStr">
        <is>
          <t>PROPOSÉ</t>
        </is>
      </c>
      <c r="O319" s="11">
        <f>IF(M319="","",M319-L319)</f>
        <v/>
      </c>
      <c r="P319" s="12">
        <f>IF(OR(M319="",M319=0),"",(M319-L319)/M319)</f>
        <v/>
      </c>
      <c r="Q319" s="13">
        <f>IF(OR(M319="",L319=0,L319=""),"",M319/L319)</f>
        <v/>
      </c>
      <c r="R319" s="11">
        <f>IF(M319="","",M319*1.2)</f>
        <v/>
      </c>
      <c r="S319" s="14" t="n"/>
      <c r="T319" s="15" t="n"/>
    </row>
    <row r="320">
      <c r="A320" s="6" t="inlineStr">
        <is>
          <t>PROD-0540</t>
        </is>
      </c>
      <c r="B320" s="6" t="inlineStr">
        <is>
          <t>BOÎTE CUBE ASSORTIMENT NORMANDIE</t>
        </is>
      </c>
      <c r="C320" s="6" t="inlineStr">
        <is>
          <t>CONFISERIE</t>
        </is>
      </c>
      <c r="D320" s="6" t="inlineStr">
        <is>
          <t>CARAMEL</t>
        </is>
      </c>
      <c r="E320" s="6" t="inlineStr">
        <is>
          <t>ESSENTIEL</t>
        </is>
      </c>
      <c r="F320" s="6" t="inlineStr">
        <is>
          <t>CARAMELS D'ISIGNY</t>
        </is>
      </c>
      <c r="G320" s="6" t="inlineStr">
        <is>
          <t>CARAMELS D'ISIGNY</t>
        </is>
      </c>
      <c r="H320" s="6" t="inlineStr">
        <is>
          <t>100G</t>
        </is>
      </c>
      <c r="I320" s="6" t="inlineStr">
        <is>
          <t>100 g</t>
        </is>
      </c>
      <c r="J320" s="6" t="inlineStr">
        <is>
          <t>NON</t>
        </is>
      </c>
      <c r="K320" s="7" t="inlineStr">
        <is>
          <t>20 %</t>
        </is>
      </c>
      <c r="L320" s="8" t="n">
        <v>3.4</v>
      </c>
      <c r="M320" s="9" t="n">
        <v>8.199999999999999</v>
      </c>
      <c r="N320" s="10" t="inlineStr">
        <is>
          <t>PROPOSÉ</t>
        </is>
      </c>
      <c r="O320" s="11">
        <f>IF(M320="","",M320-L320)</f>
        <v/>
      </c>
      <c r="P320" s="12">
        <f>IF(OR(M320="",M320=0),"",(M320-L320)/M320)</f>
        <v/>
      </c>
      <c r="Q320" s="13">
        <f>IF(OR(M320="",L320=0,L320=""),"",M320/L320)</f>
        <v/>
      </c>
      <c r="R320" s="11">
        <f>IF(M320="","",M320*1.2)</f>
        <v/>
      </c>
      <c r="S320" s="14" t="n"/>
      <c r="T320" s="15" t="n"/>
    </row>
    <row r="321">
      <c r="A321" s="16" t="inlineStr">
        <is>
          <t>PROD-0464</t>
        </is>
      </c>
      <c r="B321" s="16" t="inlineStr">
        <is>
          <t>Bonbons berlingot au Miel 150gr</t>
        </is>
      </c>
      <c r="C321" s="16" t="inlineStr">
        <is>
          <t>CONFISERIE</t>
        </is>
      </c>
      <c r="D321" s="16" t="inlineStr">
        <is>
          <t>BONBON_ET_CONFISERIE</t>
        </is>
      </c>
      <c r="E321" s="16" t="inlineStr">
        <is>
          <t>ESSENTIEL</t>
        </is>
      </c>
      <c r="F321" s="16" t="inlineStr">
        <is>
          <t>Rucher du bocage Virois</t>
        </is>
      </c>
      <c r="G321" s="16" t="inlineStr">
        <is>
          <t>NORMAND DIRECT TERROIR</t>
        </is>
      </c>
      <c r="H321" s="16" t="inlineStr"/>
      <c r="I321" s="16" t="inlineStr">
        <is>
          <t>150 g</t>
        </is>
      </c>
      <c r="J321" s="16" t="inlineStr">
        <is>
          <t>NON</t>
        </is>
      </c>
      <c r="K321" s="17" t="inlineStr">
        <is>
          <t>20 %</t>
        </is>
      </c>
      <c r="L321" s="18" t="n">
        <v>3.2</v>
      </c>
      <c r="M321" s="9" t="n">
        <v>7.7</v>
      </c>
      <c r="N321" s="10" t="inlineStr">
        <is>
          <t>PROPOSÉ</t>
        </is>
      </c>
      <c r="O321" s="11">
        <f>IF(M321="","",M321-L321)</f>
        <v/>
      </c>
      <c r="P321" s="12">
        <f>IF(OR(M321="",M321=0),"",(M321-L321)/M321)</f>
        <v/>
      </c>
      <c r="Q321" s="13">
        <f>IF(OR(M321="",L321=0,L321=""),"",M321/L321)</f>
        <v/>
      </c>
      <c r="R321" s="11">
        <f>IF(M321="","",M321*1.2)</f>
        <v/>
      </c>
      <c r="S321" s="14" t="n"/>
      <c r="T321" s="15" t="n"/>
    </row>
    <row r="322">
      <c r="A322" s="6" t="inlineStr">
        <is>
          <t>PROD-0143</t>
        </is>
      </c>
      <c r="B322" s="6" t="inlineStr">
        <is>
          <t>Poulet caramel beurre salé 90 grs</t>
        </is>
      </c>
      <c r="C322" s="6" t="inlineStr">
        <is>
          <t>CONFISERIE</t>
        </is>
      </c>
      <c r="D322" s="6" t="inlineStr">
        <is>
          <t>CARAMEL</t>
        </is>
      </c>
      <c r="E322" s="6" t="inlineStr">
        <is>
          <t>ESSENTIEL</t>
        </is>
      </c>
      <c r="F322" s="6" t="inlineStr">
        <is>
          <t>LES DINATOIRES DU PÈRE ROUPSARD</t>
        </is>
      </c>
      <c r="G322" s="6" t="inlineStr">
        <is>
          <t>NORMAND DIRECT TERROIR</t>
        </is>
      </c>
      <c r="H322" s="6" t="inlineStr"/>
      <c r="I322" s="6" t="inlineStr">
        <is>
          <t>90 g</t>
        </is>
      </c>
      <c r="J322" s="6" t="inlineStr">
        <is>
          <t>NON</t>
        </is>
      </c>
      <c r="K322" s="7" t="inlineStr">
        <is>
          <t>5.5 %</t>
        </is>
      </c>
      <c r="L322" s="8" t="n">
        <v>3.16</v>
      </c>
      <c r="M322" s="9" t="n">
        <v>7.6</v>
      </c>
      <c r="N322" s="10" t="inlineStr">
        <is>
          <t>PROPOSÉ</t>
        </is>
      </c>
      <c r="O322" s="11">
        <f>IF(M322="","",M322-L322)</f>
        <v/>
      </c>
      <c r="P322" s="12">
        <f>IF(OR(M322="",M322=0),"",(M322-L322)/M322)</f>
        <v/>
      </c>
      <c r="Q322" s="13">
        <f>IF(OR(M322="",L322=0,L322=""),"",M322/L322)</f>
        <v/>
      </c>
      <c r="R322" s="11">
        <f>IF(M322="","",M322*1.055)</f>
        <v/>
      </c>
      <c r="S322" s="14" t="n"/>
      <c r="T322" s="15" t="n"/>
    </row>
    <row r="323">
      <c r="A323" s="16" t="inlineStr">
        <is>
          <t>PROD-0504</t>
        </is>
      </c>
      <c r="B323" s="16" t="inlineStr">
        <is>
          <t>BOÎTE BOIS RONDE BEURRE SALÉ</t>
        </is>
      </c>
      <c r="C323" s="16" t="inlineStr">
        <is>
          <t>CONFISERIE</t>
        </is>
      </c>
      <c r="D323" s="16" t="inlineStr">
        <is>
          <t>CARAMEL</t>
        </is>
      </c>
      <c r="E323" s="16" t="inlineStr">
        <is>
          <t>ESSENTIEL</t>
        </is>
      </c>
      <c r="F323" s="16" t="inlineStr">
        <is>
          <t>CARAMELS D'ISIGNY</t>
        </is>
      </c>
      <c r="G323" s="16" t="inlineStr">
        <is>
          <t>CARAMELS D'ISIGNY</t>
        </is>
      </c>
      <c r="H323" s="16" t="inlineStr">
        <is>
          <t>75G</t>
        </is>
      </c>
      <c r="I323" s="16" t="inlineStr">
        <is>
          <t>75 g</t>
        </is>
      </c>
      <c r="J323" s="16" t="inlineStr">
        <is>
          <t>NON</t>
        </is>
      </c>
      <c r="K323" s="17" t="inlineStr">
        <is>
          <t>20 %</t>
        </is>
      </c>
      <c r="L323" s="18" t="n">
        <v>2.85</v>
      </c>
      <c r="M323" s="9" t="n">
        <v>7.5</v>
      </c>
      <c r="N323" s="10" t="inlineStr">
        <is>
          <t>PROPOSÉ</t>
        </is>
      </c>
      <c r="O323" s="11">
        <f>IF(M323="","",M323-L323)</f>
        <v/>
      </c>
      <c r="P323" s="12">
        <f>IF(OR(M323="",M323=0),"",(M323-L323)/M323)</f>
        <v/>
      </c>
      <c r="Q323" s="13">
        <f>IF(OR(M323="",L323=0,L323=""),"",M323/L323)</f>
        <v/>
      </c>
      <c r="R323" s="11">
        <f>IF(M323="","",M323*1.2)</f>
        <v/>
      </c>
      <c r="S323" s="14" t="n"/>
      <c r="T323" s="15" t="n"/>
    </row>
    <row r="324">
      <c r="A324" s="6" t="inlineStr">
        <is>
          <t>PROD-0506</t>
        </is>
      </c>
      <c r="B324" s="6" t="inlineStr">
        <is>
          <t>BOÎTE BOIS CARRÉE BEURRE SALÉ</t>
        </is>
      </c>
      <c r="C324" s="6" t="inlineStr">
        <is>
          <t>CONFISERIE</t>
        </is>
      </c>
      <c r="D324" s="6" t="inlineStr">
        <is>
          <t>CARAMEL</t>
        </is>
      </c>
      <c r="E324" s="6" t="inlineStr">
        <is>
          <t>ESSENTIEL</t>
        </is>
      </c>
      <c r="F324" s="6" t="inlineStr">
        <is>
          <t>CARAMELS D'ISIGNY</t>
        </is>
      </c>
      <c r="G324" s="6" t="inlineStr">
        <is>
          <t>CARAMELS D'ISIGNY</t>
        </is>
      </c>
      <c r="H324" s="6" t="inlineStr">
        <is>
          <t>75G</t>
        </is>
      </c>
      <c r="I324" s="6" t="inlineStr">
        <is>
          <t>75 g</t>
        </is>
      </c>
      <c r="J324" s="6" t="inlineStr">
        <is>
          <t>NON</t>
        </is>
      </c>
      <c r="K324" s="7" t="inlineStr">
        <is>
          <t>20 %</t>
        </is>
      </c>
      <c r="L324" s="8" t="n">
        <v>2.85</v>
      </c>
      <c r="M324" s="9" t="n">
        <v>7.5</v>
      </c>
      <c r="N324" s="10" t="inlineStr">
        <is>
          <t>PROPOSÉ</t>
        </is>
      </c>
      <c r="O324" s="11">
        <f>IF(M324="","",M324-L324)</f>
        <v/>
      </c>
      <c r="P324" s="12">
        <f>IF(OR(M324="",M324=0),"",(M324-L324)/M324)</f>
        <v/>
      </c>
      <c r="Q324" s="13">
        <f>IF(OR(M324="",L324=0,L324=""),"",M324/L324)</f>
        <v/>
      </c>
      <c r="R324" s="11">
        <f>IF(M324="","",M324*1.2)</f>
        <v/>
      </c>
      <c r="S324" s="14" t="n"/>
      <c r="T324" s="15" t="n"/>
    </row>
    <row r="325">
      <c r="A325" s="16" t="inlineStr">
        <is>
          <t>PROD-0508</t>
        </is>
      </c>
      <c r="B325" s="16" t="inlineStr">
        <is>
          <t>BOÎTE BOIS RONDE FONDANT BEURRE SALÉ</t>
        </is>
      </c>
      <c r="C325" s="16" t="inlineStr">
        <is>
          <t>CONFISERIE</t>
        </is>
      </c>
      <c r="D325" s="16" t="inlineStr">
        <is>
          <t>CARAMEL</t>
        </is>
      </c>
      <c r="E325" s="16" t="inlineStr">
        <is>
          <t>ESSENTIEL</t>
        </is>
      </c>
      <c r="F325" s="16" t="inlineStr">
        <is>
          <t>CARAMELS D'ISIGNY</t>
        </is>
      </c>
      <c r="G325" s="16" t="inlineStr">
        <is>
          <t>CARAMELS D'ISIGNY</t>
        </is>
      </c>
      <c r="H325" s="16" t="inlineStr">
        <is>
          <t>75G</t>
        </is>
      </c>
      <c r="I325" s="16" t="inlineStr">
        <is>
          <t>75 g</t>
        </is>
      </c>
      <c r="J325" s="16" t="inlineStr">
        <is>
          <t>NON</t>
        </is>
      </c>
      <c r="K325" s="17" t="inlineStr">
        <is>
          <t>20 %</t>
        </is>
      </c>
      <c r="L325" s="18" t="n">
        <v>2.85</v>
      </c>
      <c r="M325" s="9" t="n">
        <v>7.5</v>
      </c>
      <c r="N325" s="10" t="inlineStr">
        <is>
          <t>PROPOSÉ</t>
        </is>
      </c>
      <c r="O325" s="11">
        <f>IF(M325="","",M325-L325)</f>
        <v/>
      </c>
      <c r="P325" s="12">
        <f>IF(OR(M325="",M325=0),"",(M325-L325)/M325)</f>
        <v/>
      </c>
      <c r="Q325" s="13">
        <f>IF(OR(M325="",L325=0,L325=""),"",M325/L325)</f>
        <v/>
      </c>
      <c r="R325" s="11">
        <f>IF(M325="","",M325*1.2)</f>
        <v/>
      </c>
      <c r="S325" s="14" t="n"/>
      <c r="T325" s="15" t="n"/>
    </row>
    <row r="326">
      <c r="A326" s="6" t="inlineStr">
        <is>
          <t>PROD-0510</t>
        </is>
      </c>
      <c r="B326" s="6" t="inlineStr">
        <is>
          <t>BOÎTE BOIS CARRÉE FONDANT BEURRE SALÉ</t>
        </is>
      </c>
      <c r="C326" s="6" t="inlineStr">
        <is>
          <t>CONFISERIE</t>
        </is>
      </c>
      <c r="D326" s="6" t="inlineStr">
        <is>
          <t>CARAMEL</t>
        </is>
      </c>
      <c r="E326" s="6" t="inlineStr">
        <is>
          <t>ESSENTIEL</t>
        </is>
      </c>
      <c r="F326" s="6" t="inlineStr">
        <is>
          <t>CARAMELS D'ISIGNY</t>
        </is>
      </c>
      <c r="G326" s="6" t="inlineStr">
        <is>
          <t>CARAMELS D'ISIGNY</t>
        </is>
      </c>
      <c r="H326" s="6" t="inlineStr">
        <is>
          <t>75G</t>
        </is>
      </c>
      <c r="I326" s="6" t="inlineStr">
        <is>
          <t>75 g</t>
        </is>
      </c>
      <c r="J326" s="6" t="inlineStr">
        <is>
          <t>NON</t>
        </is>
      </c>
      <c r="K326" s="7" t="inlineStr">
        <is>
          <t>20 %</t>
        </is>
      </c>
      <c r="L326" s="8" t="n">
        <v>2.85</v>
      </c>
      <c r="M326" s="9" t="n">
        <v>7.5</v>
      </c>
      <c r="N326" s="10" t="inlineStr">
        <is>
          <t>PROPOSÉ</t>
        </is>
      </c>
      <c r="O326" s="11">
        <f>IF(M326="","",M326-L326)</f>
        <v/>
      </c>
      <c r="P326" s="12">
        <f>IF(OR(M326="",M326=0),"",(M326-L326)/M326)</f>
        <v/>
      </c>
      <c r="Q326" s="13">
        <f>IF(OR(M326="",L326=0,L326=""),"",M326/L326)</f>
        <v/>
      </c>
      <c r="R326" s="11">
        <f>IF(M326="","",M326*1.2)</f>
        <v/>
      </c>
      <c r="S326" s="14" t="n"/>
      <c r="T326" s="15" t="n"/>
    </row>
    <row r="327">
      <c r="A327" s="16" t="inlineStr">
        <is>
          <t>PROD-0512</t>
        </is>
      </c>
      <c r="B327" s="16" t="inlineStr">
        <is>
          <t>BOÎTE BOIS RONDE ASSORTIMENT TRADITION</t>
        </is>
      </c>
      <c r="C327" s="16" t="inlineStr">
        <is>
          <t>CONFISERIE</t>
        </is>
      </c>
      <c r="D327" s="16" t="inlineStr">
        <is>
          <t>CARAMEL</t>
        </is>
      </c>
      <c r="E327" s="16" t="inlineStr">
        <is>
          <t>ESSENTIEL</t>
        </is>
      </c>
      <c r="F327" s="16" t="inlineStr">
        <is>
          <t>CARAMELS D'ISIGNY</t>
        </is>
      </c>
      <c r="G327" s="16" t="inlineStr">
        <is>
          <t>CARAMELS D'ISIGNY</t>
        </is>
      </c>
      <c r="H327" s="16" t="inlineStr">
        <is>
          <t>75G</t>
        </is>
      </c>
      <c r="I327" s="16" t="inlineStr">
        <is>
          <t>75 g</t>
        </is>
      </c>
      <c r="J327" s="16" t="inlineStr">
        <is>
          <t>NON</t>
        </is>
      </c>
      <c r="K327" s="17" t="inlineStr">
        <is>
          <t>20 %</t>
        </is>
      </c>
      <c r="L327" s="18" t="n">
        <v>2.85</v>
      </c>
      <c r="M327" s="9" t="n">
        <v>7.5</v>
      </c>
      <c r="N327" s="10" t="inlineStr">
        <is>
          <t>PROPOSÉ</t>
        </is>
      </c>
      <c r="O327" s="11">
        <f>IF(M327="","",M327-L327)</f>
        <v/>
      </c>
      <c r="P327" s="12">
        <f>IF(OR(M327="",M327=0),"",(M327-L327)/M327)</f>
        <v/>
      </c>
      <c r="Q327" s="13">
        <f>IF(OR(M327="",L327=0,L327=""),"",M327/L327)</f>
        <v/>
      </c>
      <c r="R327" s="11">
        <f>IF(M327="","",M327*1.2)</f>
        <v/>
      </c>
      <c r="S327" s="14" t="n"/>
      <c r="T327" s="15" t="n"/>
    </row>
    <row r="328">
      <c r="A328" s="6" t="inlineStr">
        <is>
          <t>PROD-0514</t>
        </is>
      </c>
      <c r="B328" s="6" t="inlineStr">
        <is>
          <t>BOÎTE BOIS CARRÉE ASSORTIMENT TRADITION</t>
        </is>
      </c>
      <c r="C328" s="6" t="inlineStr">
        <is>
          <t>CONFISERIE</t>
        </is>
      </c>
      <c r="D328" s="6" t="inlineStr">
        <is>
          <t>CARAMEL</t>
        </is>
      </c>
      <c r="E328" s="6" t="inlineStr">
        <is>
          <t>ESSENTIEL</t>
        </is>
      </c>
      <c r="F328" s="6" t="inlineStr">
        <is>
          <t>CARAMELS D'ISIGNY</t>
        </is>
      </c>
      <c r="G328" s="6" t="inlineStr">
        <is>
          <t>CARAMELS D'ISIGNY</t>
        </is>
      </c>
      <c r="H328" s="6" t="inlineStr">
        <is>
          <t>75G</t>
        </is>
      </c>
      <c r="I328" s="6" t="inlineStr">
        <is>
          <t>75 g</t>
        </is>
      </c>
      <c r="J328" s="6" t="inlineStr">
        <is>
          <t>NON</t>
        </is>
      </c>
      <c r="K328" s="7" t="inlineStr">
        <is>
          <t>20 %</t>
        </is>
      </c>
      <c r="L328" s="8" t="n">
        <v>2.85</v>
      </c>
      <c r="M328" s="9" t="n">
        <v>7.5</v>
      </c>
      <c r="N328" s="10" t="inlineStr">
        <is>
          <t>PROPOSÉ</t>
        </is>
      </c>
      <c r="O328" s="11">
        <f>IF(M328="","",M328-L328)</f>
        <v/>
      </c>
      <c r="P328" s="12">
        <f>IF(OR(M328="",M328=0),"",(M328-L328)/M328)</f>
        <v/>
      </c>
      <c r="Q328" s="13">
        <f>IF(OR(M328="",L328=0,L328=""),"",M328/L328)</f>
        <v/>
      </c>
      <c r="R328" s="11">
        <f>IF(M328="","",M328*1.2)</f>
        <v/>
      </c>
      <c r="S328" s="14" t="n"/>
      <c r="T328" s="15" t="n"/>
    </row>
    <row r="329">
      <c r="A329" s="16" t="inlineStr">
        <is>
          <t>PROD-0516</t>
        </is>
      </c>
      <c r="B329" s="16" t="inlineStr">
        <is>
          <t>BOÎTE BOIS RONDE ASSORTIMENT FONDANTS</t>
        </is>
      </c>
      <c r="C329" s="16" t="inlineStr">
        <is>
          <t>CONFISERIE</t>
        </is>
      </c>
      <c r="D329" s="16" t="inlineStr">
        <is>
          <t>CARAMEL</t>
        </is>
      </c>
      <c r="E329" s="16" t="inlineStr">
        <is>
          <t>ESSENTIEL</t>
        </is>
      </c>
      <c r="F329" s="16" t="inlineStr">
        <is>
          <t>CARAMELS D'ISIGNY</t>
        </is>
      </c>
      <c r="G329" s="16" t="inlineStr">
        <is>
          <t>CARAMELS D'ISIGNY</t>
        </is>
      </c>
      <c r="H329" s="16" t="inlineStr">
        <is>
          <t>75G</t>
        </is>
      </c>
      <c r="I329" s="16" t="inlineStr">
        <is>
          <t>75 g</t>
        </is>
      </c>
      <c r="J329" s="16" t="inlineStr">
        <is>
          <t>NON</t>
        </is>
      </c>
      <c r="K329" s="17" t="inlineStr">
        <is>
          <t>20 %</t>
        </is>
      </c>
      <c r="L329" s="18" t="n">
        <v>2.85</v>
      </c>
      <c r="M329" s="9" t="n">
        <v>7.5</v>
      </c>
      <c r="N329" s="10" t="inlineStr">
        <is>
          <t>PROPOSÉ</t>
        </is>
      </c>
      <c r="O329" s="11">
        <f>IF(M329="","",M329-L329)</f>
        <v/>
      </c>
      <c r="P329" s="12">
        <f>IF(OR(M329="",M329=0),"",(M329-L329)/M329)</f>
        <v/>
      </c>
      <c r="Q329" s="13">
        <f>IF(OR(M329="",L329=0,L329=""),"",M329/L329)</f>
        <v/>
      </c>
      <c r="R329" s="11">
        <f>IF(M329="","",M329*1.2)</f>
        <v/>
      </c>
      <c r="S329" s="14" t="n"/>
      <c r="T329" s="15" t="n"/>
    </row>
    <row r="330">
      <c r="A330" s="6" t="inlineStr">
        <is>
          <t>PROD-0518</t>
        </is>
      </c>
      <c r="B330" s="6" t="inlineStr">
        <is>
          <t>BOÎTE BOIS CARRÉE ASSORTIMENT FONDANTS</t>
        </is>
      </c>
      <c r="C330" s="6" t="inlineStr">
        <is>
          <t>CONFISERIE</t>
        </is>
      </c>
      <c r="D330" s="6" t="inlineStr">
        <is>
          <t>CARAMEL</t>
        </is>
      </c>
      <c r="E330" s="6" t="inlineStr">
        <is>
          <t>ESSENTIEL</t>
        </is>
      </c>
      <c r="F330" s="6" t="inlineStr">
        <is>
          <t>CARAMELS D'ISIGNY</t>
        </is>
      </c>
      <c r="G330" s="6" t="inlineStr">
        <is>
          <t>CARAMELS D'ISIGNY</t>
        </is>
      </c>
      <c r="H330" s="6" t="inlineStr">
        <is>
          <t>75G</t>
        </is>
      </c>
      <c r="I330" s="6" t="inlineStr">
        <is>
          <t>75 g</t>
        </is>
      </c>
      <c r="J330" s="6" t="inlineStr">
        <is>
          <t>NON</t>
        </is>
      </c>
      <c r="K330" s="7" t="inlineStr">
        <is>
          <t>20 %</t>
        </is>
      </c>
      <c r="L330" s="8" t="n">
        <v>2.85</v>
      </c>
      <c r="M330" s="9" t="n">
        <v>7.5</v>
      </c>
      <c r="N330" s="10" t="inlineStr">
        <is>
          <t>PROPOSÉ</t>
        </is>
      </c>
      <c r="O330" s="11">
        <f>IF(M330="","",M330-L330)</f>
        <v/>
      </c>
      <c r="P330" s="12">
        <f>IF(OR(M330="",M330=0),"",(M330-L330)/M330)</f>
        <v/>
      </c>
      <c r="Q330" s="13">
        <f>IF(OR(M330="",L330=0,L330=""),"",M330/L330)</f>
        <v/>
      </c>
      <c r="R330" s="11">
        <f>IF(M330="","",M330*1.2)</f>
        <v/>
      </c>
      <c r="S330" s="14" t="n"/>
      <c r="T330" s="15" t="n"/>
    </row>
    <row r="331">
      <c r="A331" s="16" t="inlineStr">
        <is>
          <t>PROD-0520</t>
        </is>
      </c>
      <c r="B331" s="16" t="inlineStr">
        <is>
          <t>BOÎTE BOIS RONDE ASSORTIMENT NORMANDIE</t>
        </is>
      </c>
      <c r="C331" s="16" t="inlineStr">
        <is>
          <t>CONFISERIE</t>
        </is>
      </c>
      <c r="D331" s="16" t="inlineStr">
        <is>
          <t>CARAMEL</t>
        </is>
      </c>
      <c r="E331" s="16" t="inlineStr">
        <is>
          <t>ESSENTIEL</t>
        </is>
      </c>
      <c r="F331" s="16" t="inlineStr">
        <is>
          <t>CARAMELS D'ISIGNY</t>
        </is>
      </c>
      <c r="G331" s="16" t="inlineStr">
        <is>
          <t>CARAMELS D'ISIGNY</t>
        </is>
      </c>
      <c r="H331" s="16" t="inlineStr">
        <is>
          <t>75G</t>
        </is>
      </c>
      <c r="I331" s="16" t="inlineStr">
        <is>
          <t>75 g</t>
        </is>
      </c>
      <c r="J331" s="16" t="inlineStr">
        <is>
          <t>NON</t>
        </is>
      </c>
      <c r="K331" s="17" t="inlineStr">
        <is>
          <t>20 %</t>
        </is>
      </c>
      <c r="L331" s="18" t="n">
        <v>2.85</v>
      </c>
      <c r="M331" s="9" t="n">
        <v>7.5</v>
      </c>
      <c r="N331" s="10" t="inlineStr">
        <is>
          <t>PROPOSÉ</t>
        </is>
      </c>
      <c r="O331" s="11">
        <f>IF(M331="","",M331-L331)</f>
        <v/>
      </c>
      <c r="P331" s="12">
        <f>IF(OR(M331="",M331=0),"",(M331-L331)/M331)</f>
        <v/>
      </c>
      <c r="Q331" s="13">
        <f>IF(OR(M331="",L331=0,L331=""),"",M331/L331)</f>
        <v/>
      </c>
      <c r="R331" s="11">
        <f>IF(M331="","",M331*1.2)</f>
        <v/>
      </c>
      <c r="S331" s="14" t="n"/>
      <c r="T331" s="15" t="n"/>
    </row>
    <row r="332">
      <c r="A332" s="6" t="inlineStr">
        <is>
          <t>PROD-0522</t>
        </is>
      </c>
      <c r="B332" s="6" t="inlineStr">
        <is>
          <t>BOÎTE BOIS CARRÉE ASSORTIMENT NORMANDIE</t>
        </is>
      </c>
      <c r="C332" s="6" t="inlineStr">
        <is>
          <t>CONFISERIE</t>
        </is>
      </c>
      <c r="D332" s="6" t="inlineStr">
        <is>
          <t>CARAMEL</t>
        </is>
      </c>
      <c r="E332" s="6" t="inlineStr">
        <is>
          <t>ESSENTIEL</t>
        </is>
      </c>
      <c r="F332" s="6" t="inlineStr">
        <is>
          <t>CARAMELS D'ISIGNY</t>
        </is>
      </c>
      <c r="G332" s="6" t="inlineStr">
        <is>
          <t>CARAMELS D'ISIGNY</t>
        </is>
      </c>
      <c r="H332" s="6" t="inlineStr">
        <is>
          <t>75G</t>
        </is>
      </c>
      <c r="I332" s="6" t="inlineStr">
        <is>
          <t>75 g</t>
        </is>
      </c>
      <c r="J332" s="6" t="inlineStr">
        <is>
          <t>NON</t>
        </is>
      </c>
      <c r="K332" s="7" t="inlineStr">
        <is>
          <t>20 %</t>
        </is>
      </c>
      <c r="L332" s="8" t="n">
        <v>2.85</v>
      </c>
      <c r="M332" s="9" t="n">
        <v>7.5</v>
      </c>
      <c r="N332" s="10" t="inlineStr">
        <is>
          <t>PROPOSÉ</t>
        </is>
      </c>
      <c r="O332" s="11">
        <f>IF(M332="","",M332-L332)</f>
        <v/>
      </c>
      <c r="P332" s="12">
        <f>IF(OR(M332="",M332=0),"",(M332-L332)/M332)</f>
        <v/>
      </c>
      <c r="Q332" s="13">
        <f>IF(OR(M332="",L332=0,L332=""),"",M332/L332)</f>
        <v/>
      </c>
      <c r="R332" s="11">
        <f>IF(M332="","",M332*1.2)</f>
        <v/>
      </c>
      <c r="S332" s="14" t="n"/>
      <c r="T332" s="15" t="n"/>
    </row>
    <row r="333">
      <c r="A333" s="16" t="inlineStr">
        <is>
          <t>PROD-0552</t>
        </is>
      </c>
      <c r="B333" s="16" t="inlineStr">
        <is>
          <t>BOÎTE BOIS DEBARQUEMENT</t>
        </is>
      </c>
      <c r="C333" s="16" t="inlineStr">
        <is>
          <t>CONFISERIE</t>
        </is>
      </c>
      <c r="D333" s="16" t="inlineStr">
        <is>
          <t>CARAMEL</t>
        </is>
      </c>
      <c r="E333" s="16" t="inlineStr">
        <is>
          <t>ESSENTIEL</t>
        </is>
      </c>
      <c r="F333" s="16" t="inlineStr">
        <is>
          <t>CARAMELS D'ISIGNY</t>
        </is>
      </c>
      <c r="G333" s="16" t="inlineStr">
        <is>
          <t>CARAMELS D'ISIGNY</t>
        </is>
      </c>
      <c r="H333" s="16" t="inlineStr">
        <is>
          <t>75G</t>
        </is>
      </c>
      <c r="I333" s="16" t="inlineStr">
        <is>
          <t>75 g</t>
        </is>
      </c>
      <c r="J333" s="16" t="inlineStr">
        <is>
          <t>NON</t>
        </is>
      </c>
      <c r="K333" s="17" t="inlineStr">
        <is>
          <t>20 %</t>
        </is>
      </c>
      <c r="L333" s="18" t="n">
        <v>2.85</v>
      </c>
      <c r="M333" s="9" t="n">
        <v>7.5</v>
      </c>
      <c r="N333" s="10" t="inlineStr">
        <is>
          <t>PROPOSÉ</t>
        </is>
      </c>
      <c r="O333" s="11">
        <f>IF(M333="","",M333-L333)</f>
        <v/>
      </c>
      <c r="P333" s="12">
        <f>IF(OR(M333="",M333=0),"",(M333-L333)/M333)</f>
        <v/>
      </c>
      <c r="Q333" s="13">
        <f>IF(OR(M333="",L333=0,L333=""),"",M333/L333)</f>
        <v/>
      </c>
      <c r="R333" s="11">
        <f>IF(M333="","",M333*1.2)</f>
        <v/>
      </c>
      <c r="S333" s="14" t="n"/>
      <c r="T333" s="15" t="n"/>
    </row>
    <row r="334">
      <c r="A334" s="6" t="inlineStr">
        <is>
          <t>PROD-0559</t>
        </is>
      </c>
      <c r="B334" s="6" t="inlineStr">
        <is>
          <t>BOÎTE "JOYEUSES FÊTES"</t>
        </is>
      </c>
      <c r="C334" s="6" t="inlineStr">
        <is>
          <t>CONFISERIE</t>
        </is>
      </c>
      <c r="D334" s="6" t="inlineStr">
        <is>
          <t>CARAMEL</t>
        </is>
      </c>
      <c r="E334" s="6" t="inlineStr">
        <is>
          <t>ESSENTIEL</t>
        </is>
      </c>
      <c r="F334" s="6" t="inlineStr">
        <is>
          <t>CARAMELS D'ISIGNY</t>
        </is>
      </c>
      <c r="G334" s="6" t="inlineStr">
        <is>
          <t>CARAMELS D'ISIGNY</t>
        </is>
      </c>
      <c r="H334" s="6" t="inlineStr">
        <is>
          <t>75G</t>
        </is>
      </c>
      <c r="I334" s="6" t="inlineStr">
        <is>
          <t>75 g</t>
        </is>
      </c>
      <c r="J334" s="6" t="inlineStr">
        <is>
          <t>NON</t>
        </is>
      </c>
      <c r="K334" s="7" t="inlineStr">
        <is>
          <t>20 %</t>
        </is>
      </c>
      <c r="L334" s="8" t="n">
        <v>2.85</v>
      </c>
      <c r="M334" s="9" t="n">
        <v>7.5</v>
      </c>
      <c r="N334" s="10" t="inlineStr">
        <is>
          <t>PROPOSÉ</t>
        </is>
      </c>
      <c r="O334" s="11">
        <f>IF(M334="","",M334-L334)</f>
        <v/>
      </c>
      <c r="P334" s="12">
        <f>IF(OR(M334="",M334=0),"",(M334-L334)/M334)</f>
        <v/>
      </c>
      <c r="Q334" s="13">
        <f>IF(OR(M334="",L334=0,L334=""),"",M334/L334)</f>
        <v/>
      </c>
      <c r="R334" s="11">
        <f>IF(M334="","",M334*1.2)</f>
        <v/>
      </c>
      <c r="S334" s="14" t="n"/>
      <c r="T334" s="15" t="n"/>
    </row>
    <row r="335">
      <c r="A335" s="16" t="inlineStr">
        <is>
          <t>PROD-0576</t>
        </is>
      </c>
      <c r="B335" s="16" t="inlineStr">
        <is>
          <t>VRAC BEURRE SALÉ D’ISIGNY AOP</t>
        </is>
      </c>
      <c r="C335" s="16" t="inlineStr">
        <is>
          <t>CONFISERIE</t>
        </is>
      </c>
      <c r="D335" s="16" t="inlineStr">
        <is>
          <t>CARAMEL_VRAC</t>
        </is>
      </c>
      <c r="E335" s="16" t="inlineStr">
        <is>
          <t>SIGNATURE</t>
        </is>
      </c>
      <c r="F335" s="16" t="inlineStr">
        <is>
          <t>CARAMELS D'ISIGNY</t>
        </is>
      </c>
      <c r="G335" s="16" t="inlineStr">
        <is>
          <t>CARAMELS D'ISIGNY</t>
        </is>
      </c>
      <c r="H335" s="16" t="inlineStr">
        <is>
          <t>1KG</t>
        </is>
      </c>
      <c r="I335" s="16" t="inlineStr">
        <is>
          <t>1000 g</t>
        </is>
      </c>
      <c r="J335" s="16" t="inlineStr">
        <is>
          <t>NON</t>
        </is>
      </c>
      <c r="K335" s="17" t="inlineStr">
        <is>
          <t>20 %</t>
        </is>
      </c>
      <c r="L335" s="18" t="n">
        <v>13.65</v>
      </c>
      <c r="M335" s="9" t="n">
        <v>21.5</v>
      </c>
      <c r="N335" s="10" t="inlineStr">
        <is>
          <t>PROPOSÉ</t>
        </is>
      </c>
      <c r="O335" s="11">
        <f>IF(M335="","",M335-L335)</f>
        <v/>
      </c>
      <c r="P335" s="12">
        <f>IF(OR(M335="",M335=0),"",(M335-L335)/M335)</f>
        <v/>
      </c>
      <c r="Q335" s="13">
        <f>IF(OR(M335="",L335=0,L335=""),"",M335/L335)</f>
        <v/>
      </c>
      <c r="R335" s="11">
        <f>IF(M335="","",M335*1.2)</f>
        <v/>
      </c>
      <c r="S335" s="14" t="n"/>
      <c r="T335" s="15" t="n"/>
    </row>
    <row r="336">
      <c r="A336" s="6" t="inlineStr">
        <is>
          <t>PROD-0577</t>
        </is>
      </c>
      <c r="B336" s="6" t="inlineStr">
        <is>
          <t>VRAC NOISETTE</t>
        </is>
      </c>
      <c r="C336" s="6" t="inlineStr">
        <is>
          <t>CONFISERIE</t>
        </is>
      </c>
      <c r="D336" s="6" t="inlineStr">
        <is>
          <t>CARAMEL_VRAC</t>
        </is>
      </c>
      <c r="E336" s="6" t="inlineStr">
        <is>
          <t>SIGNATURE</t>
        </is>
      </c>
      <c r="F336" s="6" t="inlineStr">
        <is>
          <t>CARAMELS D'ISIGNY</t>
        </is>
      </c>
      <c r="G336" s="6" t="inlineStr">
        <is>
          <t>CARAMELS D'ISIGNY</t>
        </is>
      </c>
      <c r="H336" s="6" t="inlineStr">
        <is>
          <t>1KG</t>
        </is>
      </c>
      <c r="I336" s="6" t="inlineStr">
        <is>
          <t>1000 g</t>
        </is>
      </c>
      <c r="J336" s="6" t="inlineStr">
        <is>
          <t>NON</t>
        </is>
      </c>
      <c r="K336" s="7" t="inlineStr">
        <is>
          <t>20 %</t>
        </is>
      </c>
      <c r="L336" s="8" t="n">
        <v>13.65</v>
      </c>
      <c r="M336" s="9" t="n">
        <v>21.5</v>
      </c>
      <c r="N336" s="10" t="inlineStr">
        <is>
          <t>PROPOSÉ</t>
        </is>
      </c>
      <c r="O336" s="11">
        <f>IF(M336="","",M336-L336)</f>
        <v/>
      </c>
      <c r="P336" s="12">
        <f>IF(OR(M336="",M336=0),"",(M336-L336)/M336)</f>
        <v/>
      </c>
      <c r="Q336" s="13">
        <f>IF(OR(M336="",L336=0,L336=""),"",M336/L336)</f>
        <v/>
      </c>
      <c r="R336" s="11">
        <f>IF(M336="","",M336*1.2)</f>
        <v/>
      </c>
      <c r="S336" s="14" t="n"/>
      <c r="T336" s="15" t="n"/>
    </row>
    <row r="337">
      <c r="A337" s="16" t="inlineStr">
        <is>
          <t>PROD-0578</t>
        </is>
      </c>
      <c r="B337" s="16" t="inlineStr">
        <is>
          <t>VRAC VANILLE</t>
        </is>
      </c>
      <c r="C337" s="16" t="inlineStr">
        <is>
          <t>CONFISERIE</t>
        </is>
      </c>
      <c r="D337" s="16" t="inlineStr">
        <is>
          <t>CARAMEL_VRAC</t>
        </is>
      </c>
      <c r="E337" s="16" t="inlineStr">
        <is>
          <t>SIGNATURE</t>
        </is>
      </c>
      <c r="F337" s="16" t="inlineStr">
        <is>
          <t>CARAMELS D'ISIGNY</t>
        </is>
      </c>
      <c r="G337" s="16" t="inlineStr">
        <is>
          <t>CARAMELS D'ISIGNY</t>
        </is>
      </c>
      <c r="H337" s="16" t="inlineStr">
        <is>
          <t>1KG</t>
        </is>
      </c>
      <c r="I337" s="16" t="inlineStr">
        <is>
          <t>1000 g</t>
        </is>
      </c>
      <c r="J337" s="16" t="inlineStr">
        <is>
          <t>NON</t>
        </is>
      </c>
      <c r="K337" s="17" t="inlineStr">
        <is>
          <t>20 %</t>
        </is>
      </c>
      <c r="L337" s="18" t="n">
        <v>13.65</v>
      </c>
      <c r="M337" s="9" t="n">
        <v>21.5</v>
      </c>
      <c r="N337" s="10" t="inlineStr">
        <is>
          <t>PROPOSÉ</t>
        </is>
      </c>
      <c r="O337" s="11">
        <f>IF(M337="","",M337-L337)</f>
        <v/>
      </c>
      <c r="P337" s="12">
        <f>IF(OR(M337="",M337=0),"",(M337-L337)/M337)</f>
        <v/>
      </c>
      <c r="Q337" s="13">
        <f>IF(OR(M337="",L337=0,L337=""),"",M337/L337)</f>
        <v/>
      </c>
      <c r="R337" s="11">
        <f>IF(M337="","",M337*1.2)</f>
        <v/>
      </c>
      <c r="S337" s="14" t="n"/>
      <c r="T337" s="15" t="n"/>
    </row>
    <row r="338">
      <c r="A338" s="6" t="inlineStr">
        <is>
          <t>PROD-0579</t>
        </is>
      </c>
      <c r="B338" s="6" t="inlineStr">
        <is>
          <t>VRAC VANILLE MARBRÉ CHOCOLAT</t>
        </is>
      </c>
      <c r="C338" s="6" t="inlineStr">
        <is>
          <t>CONFISERIE</t>
        </is>
      </c>
      <c r="D338" s="6" t="inlineStr">
        <is>
          <t>CARAMEL_VRAC</t>
        </is>
      </c>
      <c r="E338" s="6" t="inlineStr">
        <is>
          <t>SIGNATURE</t>
        </is>
      </c>
      <c r="F338" s="6" t="inlineStr">
        <is>
          <t>CARAMELS D'ISIGNY</t>
        </is>
      </c>
      <c r="G338" s="6" t="inlineStr">
        <is>
          <t>CARAMELS D'ISIGNY</t>
        </is>
      </c>
      <c r="H338" s="6" t="inlineStr">
        <is>
          <t>1KG</t>
        </is>
      </c>
      <c r="I338" s="6" t="inlineStr">
        <is>
          <t>1000 g</t>
        </is>
      </c>
      <c r="J338" s="6" t="inlineStr">
        <is>
          <t>NON</t>
        </is>
      </c>
      <c r="K338" s="7" t="inlineStr">
        <is>
          <t>20 %</t>
        </is>
      </c>
      <c r="L338" s="8" t="n">
        <v>13.65</v>
      </c>
      <c r="M338" s="9" t="n">
        <v>21.5</v>
      </c>
      <c r="N338" s="10" t="inlineStr">
        <is>
          <t>PROPOSÉ</t>
        </is>
      </c>
      <c r="O338" s="11">
        <f>IF(M338="","",M338-L338)</f>
        <v/>
      </c>
      <c r="P338" s="12">
        <f>IF(OR(M338="",M338=0),"",(M338-L338)/M338)</f>
        <v/>
      </c>
      <c r="Q338" s="13">
        <f>IF(OR(M338="",L338=0,L338=""),"",M338/L338)</f>
        <v/>
      </c>
      <c r="R338" s="11">
        <f>IF(M338="","",M338*1.2)</f>
        <v/>
      </c>
      <c r="S338" s="14" t="n"/>
      <c r="T338" s="15" t="n"/>
    </row>
    <row r="339">
      <c r="A339" s="16" t="inlineStr">
        <is>
          <t>PROD-0582</t>
        </is>
      </c>
      <c r="B339" s="16" t="inlineStr">
        <is>
          <t>VRAC BEURRE SALÉ D’ISIGNY AOP</t>
        </is>
      </c>
      <c r="C339" s="16" t="inlineStr">
        <is>
          <t>CONFISERIE</t>
        </is>
      </c>
      <c r="D339" s="16" t="inlineStr">
        <is>
          <t>CARAMEL_VRAC</t>
        </is>
      </c>
      <c r="E339" s="16" t="inlineStr">
        <is>
          <t>SIGNATURE</t>
        </is>
      </c>
      <c r="F339" s="16" t="inlineStr">
        <is>
          <t>CARAMELS D'ISIGNY</t>
        </is>
      </c>
      <c r="G339" s="16" t="inlineStr">
        <is>
          <t>CARAMELS D'ISIGNY</t>
        </is>
      </c>
      <c r="H339" s="16" t="inlineStr">
        <is>
          <t>1KG</t>
        </is>
      </c>
      <c r="I339" s="16" t="inlineStr">
        <is>
          <t>1000 g</t>
        </is>
      </c>
      <c r="J339" s="16" t="inlineStr">
        <is>
          <t>NON</t>
        </is>
      </c>
      <c r="K339" s="17" t="inlineStr">
        <is>
          <t>20 %</t>
        </is>
      </c>
      <c r="L339" s="18" t="n">
        <v>13.65</v>
      </c>
      <c r="M339" s="9" t="n">
        <v>21.5</v>
      </c>
      <c r="N339" s="10" t="inlineStr">
        <is>
          <t>PROPOSÉ</t>
        </is>
      </c>
      <c r="O339" s="11">
        <f>IF(M339="","",M339-L339)</f>
        <v/>
      </c>
      <c r="P339" s="12">
        <f>IF(OR(M339="",M339=0),"",(M339-L339)/M339)</f>
        <v/>
      </c>
      <c r="Q339" s="13">
        <f>IF(OR(M339="",L339=0,L339=""),"",M339/L339)</f>
        <v/>
      </c>
      <c r="R339" s="11">
        <f>IF(M339="","",M339*1.2)</f>
        <v/>
      </c>
      <c r="S339" s="14" t="n"/>
      <c r="T339" s="15" t="n"/>
    </row>
    <row r="340">
      <c r="A340" s="6" t="inlineStr">
        <is>
          <t>PROD-0583</t>
        </is>
      </c>
      <c r="B340" s="6" t="inlineStr">
        <is>
          <t>VRAC BEURRE DOUX D’ISIGNY AOP</t>
        </is>
      </c>
      <c r="C340" s="6" t="inlineStr">
        <is>
          <t>CONFISERIE</t>
        </is>
      </c>
      <c r="D340" s="6" t="inlineStr">
        <is>
          <t>CARAMEL_VRAC</t>
        </is>
      </c>
      <c r="E340" s="6" t="inlineStr">
        <is>
          <t>SIGNATURE</t>
        </is>
      </c>
      <c r="F340" s="6" t="inlineStr">
        <is>
          <t>CARAMELS D'ISIGNY</t>
        </is>
      </c>
      <c r="G340" s="6" t="inlineStr">
        <is>
          <t>CARAMELS D'ISIGNY</t>
        </is>
      </c>
      <c r="H340" s="6" t="inlineStr">
        <is>
          <t>1KG</t>
        </is>
      </c>
      <c r="I340" s="6" t="inlineStr">
        <is>
          <t>1000 g</t>
        </is>
      </c>
      <c r="J340" s="6" t="inlineStr">
        <is>
          <t>NON</t>
        </is>
      </c>
      <c r="K340" s="7" t="inlineStr">
        <is>
          <t>20 %</t>
        </is>
      </c>
      <c r="L340" s="8" t="n">
        <v>13.65</v>
      </c>
      <c r="M340" s="9" t="n">
        <v>21.5</v>
      </c>
      <c r="N340" s="10" t="inlineStr">
        <is>
          <t>PROPOSÉ</t>
        </is>
      </c>
      <c r="O340" s="11">
        <f>IF(M340="","",M340-L340)</f>
        <v/>
      </c>
      <c r="P340" s="12">
        <f>IF(OR(M340="",M340=0),"",(M340-L340)/M340)</f>
        <v/>
      </c>
      <c r="Q340" s="13">
        <f>IF(OR(M340="",L340=0,L340=""),"",M340/L340)</f>
        <v/>
      </c>
      <c r="R340" s="11">
        <f>IF(M340="","",M340*1.2)</f>
        <v/>
      </c>
      <c r="S340" s="14" t="n"/>
      <c r="T340" s="15" t="n"/>
    </row>
    <row r="341">
      <c r="A341" s="16" t="inlineStr">
        <is>
          <t>PROD-0584</t>
        </is>
      </c>
      <c r="B341" s="16" t="inlineStr">
        <is>
          <t>VRAC CRÈME D’ISIGNY AOP</t>
        </is>
      </c>
      <c r="C341" s="16" t="inlineStr">
        <is>
          <t>CONFISERIE</t>
        </is>
      </c>
      <c r="D341" s="16" t="inlineStr">
        <is>
          <t>CARAMEL_VRAC</t>
        </is>
      </c>
      <c r="E341" s="16" t="inlineStr">
        <is>
          <t>SIGNATURE</t>
        </is>
      </c>
      <c r="F341" s="16" t="inlineStr">
        <is>
          <t>CARAMELS D'ISIGNY</t>
        </is>
      </c>
      <c r="G341" s="16" t="inlineStr">
        <is>
          <t>CARAMELS D'ISIGNY</t>
        </is>
      </c>
      <c r="H341" s="16" t="inlineStr">
        <is>
          <t>1KG</t>
        </is>
      </c>
      <c r="I341" s="16" t="inlineStr">
        <is>
          <t>1000 g</t>
        </is>
      </c>
      <c r="J341" s="16" t="inlineStr">
        <is>
          <t>NON</t>
        </is>
      </c>
      <c r="K341" s="17" t="inlineStr">
        <is>
          <t>20 %</t>
        </is>
      </c>
      <c r="L341" s="18" t="n">
        <v>13.65</v>
      </c>
      <c r="M341" s="9" t="n">
        <v>21.5</v>
      </c>
      <c r="N341" s="10" t="inlineStr">
        <is>
          <t>PROPOSÉ</t>
        </is>
      </c>
      <c r="O341" s="11">
        <f>IF(M341="","",M341-L341)</f>
        <v/>
      </c>
      <c r="P341" s="12">
        <f>IF(OR(M341="",M341=0),"",(M341-L341)/M341)</f>
        <v/>
      </c>
      <c r="Q341" s="13">
        <f>IF(OR(M341="",L341=0,L341=""),"",M341/L341)</f>
        <v/>
      </c>
      <c r="R341" s="11">
        <f>IF(M341="","",M341*1.2)</f>
        <v/>
      </c>
      <c r="S341" s="14" t="n"/>
      <c r="T341" s="15" t="n"/>
    </row>
    <row r="342">
      <c r="A342" s="6" t="inlineStr">
        <is>
          <t>PROD-0585</t>
        </is>
      </c>
      <c r="B342" s="6" t="inlineStr">
        <is>
          <t>VRAC BEURRE SALÉ ET CRÈME D’ISIGNY AOP</t>
        </is>
      </c>
      <c r="C342" s="6" t="inlineStr">
        <is>
          <t>CONFISERIE</t>
        </is>
      </c>
      <c r="D342" s="6" t="inlineStr">
        <is>
          <t>CARAMEL_VRAC</t>
        </is>
      </c>
      <c r="E342" s="6" t="inlineStr">
        <is>
          <t>SIGNATURE</t>
        </is>
      </c>
      <c r="F342" s="6" t="inlineStr">
        <is>
          <t>CARAMELS D'ISIGNY</t>
        </is>
      </c>
      <c r="G342" s="6" t="inlineStr">
        <is>
          <t>CARAMELS D'ISIGNY</t>
        </is>
      </c>
      <c r="H342" s="6" t="inlineStr">
        <is>
          <t>1KG</t>
        </is>
      </c>
      <c r="I342" s="6" t="inlineStr">
        <is>
          <t>1000 g</t>
        </is>
      </c>
      <c r="J342" s="6" t="inlineStr">
        <is>
          <t>NON</t>
        </is>
      </c>
      <c r="K342" s="7" t="inlineStr">
        <is>
          <t>20 %</t>
        </is>
      </c>
      <c r="L342" s="8" t="n">
        <v>13.65</v>
      </c>
      <c r="M342" s="9" t="n">
        <v>21.5</v>
      </c>
      <c r="N342" s="10" t="inlineStr">
        <is>
          <t>PROPOSÉ</t>
        </is>
      </c>
      <c r="O342" s="11">
        <f>IF(M342="","",M342-L342)</f>
        <v/>
      </c>
      <c r="P342" s="12">
        <f>IF(OR(M342="",M342=0),"",(M342-L342)/M342)</f>
        <v/>
      </c>
      <c r="Q342" s="13">
        <f>IF(OR(M342="",L342=0,L342=""),"",M342/L342)</f>
        <v/>
      </c>
      <c r="R342" s="11">
        <f>IF(M342="","",M342*1.2)</f>
        <v/>
      </c>
      <c r="S342" s="14" t="n"/>
      <c r="T342" s="15" t="n"/>
    </row>
    <row r="343">
      <c r="A343" s="16" t="inlineStr">
        <is>
          <t>PROD-0586</t>
        </is>
      </c>
      <c r="B343" s="16" t="inlineStr">
        <is>
          <t>VRAC GOÛT TATIN</t>
        </is>
      </c>
      <c r="C343" s="16" t="inlineStr">
        <is>
          <t>CONFISERIE</t>
        </is>
      </c>
      <c r="D343" s="16" t="inlineStr">
        <is>
          <t>CARAMEL_VRAC</t>
        </is>
      </c>
      <c r="E343" s="16" t="inlineStr">
        <is>
          <t>SIGNATURE</t>
        </is>
      </c>
      <c r="F343" s="16" t="inlineStr">
        <is>
          <t>CARAMELS D'ISIGNY</t>
        </is>
      </c>
      <c r="G343" s="16" t="inlineStr">
        <is>
          <t>CARAMELS D'ISIGNY</t>
        </is>
      </c>
      <c r="H343" s="16" t="inlineStr">
        <is>
          <t>1KG</t>
        </is>
      </c>
      <c r="I343" s="16" t="inlineStr">
        <is>
          <t>1000 g</t>
        </is>
      </c>
      <c r="J343" s="16" t="inlineStr">
        <is>
          <t>NON</t>
        </is>
      </c>
      <c r="K343" s="17" t="inlineStr">
        <is>
          <t>20 %</t>
        </is>
      </c>
      <c r="L343" s="18" t="n">
        <v>13.65</v>
      </c>
      <c r="M343" s="9" t="n">
        <v>21.5</v>
      </c>
      <c r="N343" s="10" t="inlineStr">
        <is>
          <t>PROPOSÉ</t>
        </is>
      </c>
      <c r="O343" s="11">
        <f>IF(M343="","",M343-L343)</f>
        <v/>
      </c>
      <c r="P343" s="12">
        <f>IF(OR(M343="",M343=0),"",(M343-L343)/M343)</f>
        <v/>
      </c>
      <c r="Q343" s="13">
        <f>IF(OR(M343="",L343=0,L343=""),"",M343/L343)</f>
        <v/>
      </c>
      <c r="R343" s="11">
        <f>IF(M343="","",M343*1.2)</f>
        <v/>
      </c>
      <c r="S343" s="14" t="n"/>
      <c r="T343" s="15" t="n"/>
    </row>
    <row r="344">
      <c r="A344" s="6" t="inlineStr">
        <is>
          <t>PROD-0587</t>
        </is>
      </c>
      <c r="B344" s="6" t="inlineStr">
        <is>
          <t>VRAC CHOCOLAT</t>
        </is>
      </c>
      <c r="C344" s="6" t="inlineStr">
        <is>
          <t>CONFISERIE</t>
        </is>
      </c>
      <c r="D344" s="6" t="inlineStr">
        <is>
          <t>CARAMEL_VRAC</t>
        </is>
      </c>
      <c r="E344" s="6" t="inlineStr">
        <is>
          <t>SIGNATURE</t>
        </is>
      </c>
      <c r="F344" s="6" t="inlineStr">
        <is>
          <t>CARAMELS D'ISIGNY</t>
        </is>
      </c>
      <c r="G344" s="6" t="inlineStr">
        <is>
          <t>CARAMELS D'ISIGNY</t>
        </is>
      </c>
      <c r="H344" s="6" t="inlineStr">
        <is>
          <t>1KG</t>
        </is>
      </c>
      <c r="I344" s="6" t="inlineStr">
        <is>
          <t>1000 g</t>
        </is>
      </c>
      <c r="J344" s="6" t="inlineStr">
        <is>
          <t>NON</t>
        </is>
      </c>
      <c r="K344" s="7" t="inlineStr">
        <is>
          <t>20 %</t>
        </is>
      </c>
      <c r="L344" s="8" t="n">
        <v>13.65</v>
      </c>
      <c r="M344" s="9" t="n">
        <v>21.5</v>
      </c>
      <c r="N344" s="10" t="inlineStr">
        <is>
          <t>PROPOSÉ</t>
        </is>
      </c>
      <c r="O344" s="11">
        <f>IF(M344="","",M344-L344)</f>
        <v/>
      </c>
      <c r="P344" s="12">
        <f>IF(OR(M344="",M344=0),"",(M344-L344)/M344)</f>
        <v/>
      </c>
      <c r="Q344" s="13">
        <f>IF(OR(M344="",L344=0,L344=""),"",M344/L344)</f>
        <v/>
      </c>
      <c r="R344" s="11">
        <f>IF(M344="","",M344*1.2)</f>
        <v/>
      </c>
      <c r="S344" s="14" t="n"/>
      <c r="T344" s="15" t="n"/>
    </row>
    <row r="345">
      <c r="A345" s="16" t="inlineStr">
        <is>
          <t>PROD-0588</t>
        </is>
      </c>
      <c r="B345" s="16" t="inlineStr">
        <is>
          <t>VRAC NOISETTE</t>
        </is>
      </c>
      <c r="C345" s="16" t="inlineStr">
        <is>
          <t>CONFISERIE</t>
        </is>
      </c>
      <c r="D345" s="16" t="inlineStr">
        <is>
          <t>CARAMEL_VRAC</t>
        </is>
      </c>
      <c r="E345" s="16" t="inlineStr">
        <is>
          <t>SIGNATURE</t>
        </is>
      </c>
      <c r="F345" s="16" t="inlineStr">
        <is>
          <t>CARAMELS D'ISIGNY</t>
        </is>
      </c>
      <c r="G345" s="16" t="inlineStr">
        <is>
          <t>CARAMELS D'ISIGNY</t>
        </is>
      </c>
      <c r="H345" s="16" t="inlineStr">
        <is>
          <t>1KG</t>
        </is>
      </c>
      <c r="I345" s="16" t="inlineStr">
        <is>
          <t>1000 g</t>
        </is>
      </c>
      <c r="J345" s="16" t="inlineStr">
        <is>
          <t>NON</t>
        </is>
      </c>
      <c r="K345" s="17" t="inlineStr">
        <is>
          <t>20 %</t>
        </is>
      </c>
      <c r="L345" s="18" t="n">
        <v>13.65</v>
      </c>
      <c r="M345" s="9" t="n">
        <v>21.5</v>
      </c>
      <c r="N345" s="10" t="inlineStr">
        <is>
          <t>PROPOSÉ</t>
        </is>
      </c>
      <c r="O345" s="11">
        <f>IF(M345="","",M345-L345)</f>
        <v/>
      </c>
      <c r="P345" s="12">
        <f>IF(OR(M345="",M345=0),"",(M345-L345)/M345)</f>
        <v/>
      </c>
      <c r="Q345" s="13">
        <f>IF(OR(M345="",L345=0,L345=""),"",M345/L345)</f>
        <v/>
      </c>
      <c r="R345" s="11">
        <f>IF(M345="","",M345*1.2)</f>
        <v/>
      </c>
      <c r="S345" s="14" t="n"/>
      <c r="T345" s="15" t="n"/>
    </row>
    <row r="346">
      <c r="A346" s="6" t="inlineStr">
        <is>
          <t>PROD-0589</t>
        </is>
      </c>
      <c r="B346" s="6" t="inlineStr">
        <is>
          <t>VRAC CAFÉ</t>
        </is>
      </c>
      <c r="C346" s="6" t="inlineStr">
        <is>
          <t>CONFISERIE</t>
        </is>
      </c>
      <c r="D346" s="6" t="inlineStr">
        <is>
          <t>CARAMEL_VRAC</t>
        </is>
      </c>
      <c r="E346" s="6" t="inlineStr">
        <is>
          <t>SIGNATURE</t>
        </is>
      </c>
      <c r="F346" s="6" t="inlineStr">
        <is>
          <t>CARAMELS D'ISIGNY</t>
        </is>
      </c>
      <c r="G346" s="6" t="inlineStr">
        <is>
          <t>CARAMELS D'ISIGNY</t>
        </is>
      </c>
      <c r="H346" s="6" t="inlineStr">
        <is>
          <t>1KG</t>
        </is>
      </c>
      <c r="I346" s="6" t="inlineStr">
        <is>
          <t>1000 g</t>
        </is>
      </c>
      <c r="J346" s="6" t="inlineStr">
        <is>
          <t>NON</t>
        </is>
      </c>
      <c r="K346" s="7" t="inlineStr">
        <is>
          <t>20 %</t>
        </is>
      </c>
      <c r="L346" s="8" t="n">
        <v>13.65</v>
      </c>
      <c r="M346" s="9" t="n">
        <v>21.5</v>
      </c>
      <c r="N346" s="10" t="inlineStr">
        <is>
          <t>PROPOSÉ</t>
        </is>
      </c>
      <c r="O346" s="11">
        <f>IF(M346="","",M346-L346)</f>
        <v/>
      </c>
      <c r="P346" s="12">
        <f>IF(OR(M346="",M346=0),"",(M346-L346)/M346)</f>
        <v/>
      </c>
      <c r="Q346" s="13">
        <f>IF(OR(M346="",L346=0,L346=""),"",M346/L346)</f>
        <v/>
      </c>
      <c r="R346" s="11">
        <f>IF(M346="","",M346*1.2)</f>
        <v/>
      </c>
      <c r="S346" s="14" t="n"/>
      <c r="T346" s="15" t="n"/>
    </row>
    <row r="347">
      <c r="A347" s="16" t="inlineStr">
        <is>
          <t>PROD-0590</t>
        </is>
      </c>
      <c r="B347" s="16" t="inlineStr">
        <is>
          <t>VRAC CALVADOS</t>
        </is>
      </c>
      <c r="C347" s="16" t="inlineStr">
        <is>
          <t>CONFISERIE</t>
        </is>
      </c>
      <c r="D347" s="16" t="inlineStr">
        <is>
          <t>CARAMEL_VRAC</t>
        </is>
      </c>
      <c r="E347" s="16" t="inlineStr">
        <is>
          <t>SIGNATURE</t>
        </is>
      </c>
      <c r="F347" s="16" t="inlineStr">
        <is>
          <t>CARAMELS D'ISIGNY</t>
        </is>
      </c>
      <c r="G347" s="16" t="inlineStr">
        <is>
          <t>CARAMELS D'ISIGNY</t>
        </is>
      </c>
      <c r="H347" s="16" t="inlineStr">
        <is>
          <t>1KG</t>
        </is>
      </c>
      <c r="I347" s="16" t="inlineStr">
        <is>
          <t>1000 g</t>
        </is>
      </c>
      <c r="J347" s="16" t="inlineStr">
        <is>
          <t>INGREDIENT_ALCOOLISE</t>
        </is>
      </c>
      <c r="K347" s="17" t="inlineStr">
        <is>
          <t>20 %</t>
        </is>
      </c>
      <c r="L347" s="18" t="n">
        <v>13.65</v>
      </c>
      <c r="M347" s="9" t="n">
        <v>21.5</v>
      </c>
      <c r="N347" s="10" t="inlineStr">
        <is>
          <t>PROPOSÉ</t>
        </is>
      </c>
      <c r="O347" s="11">
        <f>IF(M347="","",M347-L347)</f>
        <v/>
      </c>
      <c r="P347" s="12">
        <f>IF(OR(M347="",M347=0),"",(M347-L347)/M347)</f>
        <v/>
      </c>
      <c r="Q347" s="13">
        <f>IF(OR(M347="",L347=0,L347=""),"",M347/L347)</f>
        <v/>
      </c>
      <c r="R347" s="11">
        <f>IF(M347="","",M347*1.2)</f>
        <v/>
      </c>
      <c r="S347" s="14" t="n"/>
      <c r="T347" s="15" t="n"/>
    </row>
    <row r="348">
      <c r="A348" s="6" t="inlineStr">
        <is>
          <t>PROD-0591</t>
        </is>
      </c>
      <c r="B348" s="6" t="inlineStr">
        <is>
          <t>VRAC POMME</t>
        </is>
      </c>
      <c r="C348" s="6" t="inlineStr">
        <is>
          <t>CONFISERIE</t>
        </is>
      </c>
      <c r="D348" s="6" t="inlineStr">
        <is>
          <t>CARAMEL_VRAC</t>
        </is>
      </c>
      <c r="E348" s="6" t="inlineStr">
        <is>
          <t>SIGNATURE</t>
        </is>
      </c>
      <c r="F348" s="6" t="inlineStr">
        <is>
          <t>CARAMELS D'ISIGNY</t>
        </is>
      </c>
      <c r="G348" s="6" t="inlineStr">
        <is>
          <t>CARAMELS D'ISIGNY</t>
        </is>
      </c>
      <c r="H348" s="6" t="inlineStr">
        <is>
          <t>1KG</t>
        </is>
      </c>
      <c r="I348" s="6" t="inlineStr">
        <is>
          <t>1000 g</t>
        </is>
      </c>
      <c r="J348" s="6" t="inlineStr">
        <is>
          <t>NON</t>
        </is>
      </c>
      <c r="K348" s="7" t="inlineStr">
        <is>
          <t>20 %</t>
        </is>
      </c>
      <c r="L348" s="8" t="n">
        <v>13.65</v>
      </c>
      <c r="M348" s="9" t="n">
        <v>21.5</v>
      </c>
      <c r="N348" s="10" t="inlineStr">
        <is>
          <t>PROPOSÉ</t>
        </is>
      </c>
      <c r="O348" s="11">
        <f>IF(M348="","",M348-L348)</f>
        <v/>
      </c>
      <c r="P348" s="12">
        <f>IF(OR(M348="",M348=0),"",(M348-L348)/M348)</f>
        <v/>
      </c>
      <c r="Q348" s="13">
        <f>IF(OR(M348="",L348=0,L348=""),"",M348/L348)</f>
        <v/>
      </c>
      <c r="R348" s="11">
        <f>IF(M348="","",M348*1.2)</f>
        <v/>
      </c>
      <c r="S348" s="14" t="n"/>
      <c r="T348" s="15" t="n"/>
    </row>
    <row r="349">
      <c r="A349" s="16" t="inlineStr">
        <is>
          <t>PROD-0592</t>
        </is>
      </c>
      <c r="B349" s="16" t="inlineStr">
        <is>
          <t>VRAC ASSORTIMENT TRADITION</t>
        </is>
      </c>
      <c r="C349" s="16" t="inlineStr">
        <is>
          <t>CONFISERIE</t>
        </is>
      </c>
      <c r="D349" s="16" t="inlineStr">
        <is>
          <t>CARAMEL_VRAC</t>
        </is>
      </c>
      <c r="E349" s="16" t="inlineStr">
        <is>
          <t>SIGNATURE</t>
        </is>
      </c>
      <c r="F349" s="16" t="inlineStr">
        <is>
          <t>CARAMELS D'ISIGNY</t>
        </is>
      </c>
      <c r="G349" s="16" t="inlineStr">
        <is>
          <t>CARAMELS D'ISIGNY</t>
        </is>
      </c>
      <c r="H349" s="16" t="inlineStr">
        <is>
          <t>1KG</t>
        </is>
      </c>
      <c r="I349" s="16" t="inlineStr">
        <is>
          <t>1000 g</t>
        </is>
      </c>
      <c r="J349" s="16" t="inlineStr">
        <is>
          <t>NON</t>
        </is>
      </c>
      <c r="K349" s="17" t="inlineStr">
        <is>
          <t>20 %</t>
        </is>
      </c>
      <c r="L349" s="18" t="n">
        <v>13.65</v>
      </c>
      <c r="M349" s="9" t="n">
        <v>21.5</v>
      </c>
      <c r="N349" s="10" t="inlineStr">
        <is>
          <t>PROPOSÉ</t>
        </is>
      </c>
      <c r="O349" s="11">
        <f>IF(M349="","",M349-L349)</f>
        <v/>
      </c>
      <c r="P349" s="12">
        <f>IF(OR(M349="",M349=0),"",(M349-L349)/M349)</f>
        <v/>
      </c>
      <c r="Q349" s="13">
        <f>IF(OR(M349="",L349=0,L349=""),"",M349/L349)</f>
        <v/>
      </c>
      <c r="R349" s="11">
        <f>IF(M349="","",M349*1.2)</f>
        <v/>
      </c>
      <c r="S349" s="14" t="n"/>
      <c r="T349" s="15" t="n"/>
    </row>
    <row r="350">
      <c r="A350" s="6" t="inlineStr">
        <is>
          <t>PROD-0593</t>
        </is>
      </c>
      <c r="B350" s="6" t="inlineStr">
        <is>
          <t>VRAC ASSORTIMENT NORMANDIE</t>
        </is>
      </c>
      <c r="C350" s="6" t="inlineStr">
        <is>
          <t>CONFISERIE</t>
        </is>
      </c>
      <c r="D350" s="6" t="inlineStr">
        <is>
          <t>CARAMEL_VRAC</t>
        </is>
      </c>
      <c r="E350" s="6" t="inlineStr">
        <is>
          <t>SIGNATURE</t>
        </is>
      </c>
      <c r="F350" s="6" t="inlineStr">
        <is>
          <t>CARAMELS D'ISIGNY</t>
        </is>
      </c>
      <c r="G350" s="6" t="inlineStr">
        <is>
          <t>CARAMELS D'ISIGNY</t>
        </is>
      </c>
      <c r="H350" s="6" t="inlineStr">
        <is>
          <t>1KG</t>
        </is>
      </c>
      <c r="I350" s="6" t="inlineStr">
        <is>
          <t>1000 g</t>
        </is>
      </c>
      <c r="J350" s="6" t="inlineStr">
        <is>
          <t>NON</t>
        </is>
      </c>
      <c r="K350" s="7" t="inlineStr">
        <is>
          <t>20 %</t>
        </is>
      </c>
      <c r="L350" s="8" t="n">
        <v>13.65</v>
      </c>
      <c r="M350" s="9" t="n">
        <v>21.5</v>
      </c>
      <c r="N350" s="10" t="inlineStr">
        <is>
          <t>PROPOSÉ</t>
        </is>
      </c>
      <c r="O350" s="11">
        <f>IF(M350="","",M350-L350)</f>
        <v/>
      </c>
      <c r="P350" s="12">
        <f>IF(OR(M350="",M350=0),"",(M350-L350)/M350)</f>
        <v/>
      </c>
      <c r="Q350" s="13">
        <f>IF(OR(M350="",L350=0,L350=""),"",M350/L350)</f>
        <v/>
      </c>
      <c r="R350" s="11">
        <f>IF(M350="","",M350*1.2)</f>
        <v/>
      </c>
      <c r="S350" s="14" t="n"/>
      <c r="T350" s="15" t="n"/>
    </row>
    <row r="351">
      <c r="A351" s="16" t="inlineStr">
        <is>
          <t>PROD-0581</t>
        </is>
      </c>
      <c r="B351" s="16" t="inlineStr">
        <is>
          <t>VRAC BEURRE SALÉ D’ISIGNY AOP</t>
        </is>
      </c>
      <c r="C351" s="16" t="inlineStr">
        <is>
          <t>CONFISERIE</t>
        </is>
      </c>
      <c r="D351" s="16" t="inlineStr">
        <is>
          <t>CARAMEL_VRAC</t>
        </is>
      </c>
      <c r="E351" s="16" t="inlineStr">
        <is>
          <t>SIGNATURE</t>
        </is>
      </c>
      <c r="F351" s="16" t="inlineStr">
        <is>
          <t>CARAMELS D'ISIGNY</t>
        </is>
      </c>
      <c r="G351" s="16" t="inlineStr">
        <is>
          <t>CARAMELS D'ISIGNY</t>
        </is>
      </c>
      <c r="H351" s="16" t="inlineStr">
        <is>
          <t>1KG</t>
        </is>
      </c>
      <c r="I351" s="16" t="inlineStr">
        <is>
          <t>1000 g</t>
        </is>
      </c>
      <c r="J351" s="16" t="inlineStr">
        <is>
          <t>NON</t>
        </is>
      </c>
      <c r="K351" s="17" t="inlineStr">
        <is>
          <t>20 %</t>
        </is>
      </c>
      <c r="L351" s="18" t="n">
        <v>13</v>
      </c>
      <c r="M351" s="9" t="n">
        <v>20.5</v>
      </c>
      <c r="N351" s="10" t="inlineStr">
        <is>
          <t>PROPOSÉ</t>
        </is>
      </c>
      <c r="O351" s="11">
        <f>IF(M351="","",M351-L351)</f>
        <v/>
      </c>
      <c r="P351" s="12">
        <f>IF(OR(M351="",M351=0),"",(M351-L351)/M351)</f>
        <v/>
      </c>
      <c r="Q351" s="13">
        <f>IF(OR(M351="",L351=0,L351=""),"",M351/L351)</f>
        <v/>
      </c>
      <c r="R351" s="11">
        <f>IF(M351="","",M351*1.2)</f>
        <v/>
      </c>
      <c r="S351" s="14" t="n"/>
      <c r="T351" s="15" t="n"/>
    </row>
    <row r="352">
      <c r="A352" s="6" t="inlineStr">
        <is>
          <t>PROD-0594</t>
        </is>
      </c>
      <c r="B352" s="6" t="inlineStr">
        <is>
          <t>VRAC BEURRE DOUX D’ISIGNY AOP</t>
        </is>
      </c>
      <c r="C352" s="6" t="inlineStr">
        <is>
          <t>CONFISERIE</t>
        </is>
      </c>
      <c r="D352" s="6" t="inlineStr">
        <is>
          <t>CARAMEL_VRAC</t>
        </is>
      </c>
      <c r="E352" s="6" t="inlineStr">
        <is>
          <t>SIGNATURE</t>
        </is>
      </c>
      <c r="F352" s="6" t="inlineStr">
        <is>
          <t>CARAMELS D'ISIGNY</t>
        </is>
      </c>
      <c r="G352" s="6" t="inlineStr">
        <is>
          <t>CARAMELS D'ISIGNY</t>
        </is>
      </c>
      <c r="H352" s="6" t="inlineStr">
        <is>
          <t>1KG</t>
        </is>
      </c>
      <c r="I352" s="6" t="inlineStr">
        <is>
          <t>1000 g</t>
        </is>
      </c>
      <c r="J352" s="6" t="inlineStr">
        <is>
          <t>NON</t>
        </is>
      </c>
      <c r="K352" s="7" t="inlineStr">
        <is>
          <t>20 %</t>
        </is>
      </c>
      <c r="L352" s="8" t="n">
        <v>13</v>
      </c>
      <c r="M352" s="9" t="n">
        <v>20.5</v>
      </c>
      <c r="N352" s="10" t="inlineStr">
        <is>
          <t>PROPOSÉ</t>
        </is>
      </c>
      <c r="O352" s="11">
        <f>IF(M352="","",M352-L352)</f>
        <v/>
      </c>
      <c r="P352" s="12">
        <f>IF(OR(M352="",M352=0),"",(M352-L352)/M352)</f>
        <v/>
      </c>
      <c r="Q352" s="13">
        <f>IF(OR(M352="",L352=0,L352=""),"",M352/L352)</f>
        <v/>
      </c>
      <c r="R352" s="11">
        <f>IF(M352="","",M352*1.2)</f>
        <v/>
      </c>
      <c r="S352" s="14" t="n"/>
      <c r="T352" s="15" t="n"/>
    </row>
    <row r="353">
      <c r="A353" s="16" t="inlineStr">
        <is>
          <t>PROD-0595</t>
        </is>
      </c>
      <c r="B353" s="16" t="inlineStr">
        <is>
          <t>VRAC CAFÉ</t>
        </is>
      </c>
      <c r="C353" s="16" t="inlineStr">
        <is>
          <t>CONFISERIE</t>
        </is>
      </c>
      <c r="D353" s="16" t="inlineStr">
        <is>
          <t>CARAMEL_VRAC</t>
        </is>
      </c>
      <c r="E353" s="16" t="inlineStr">
        <is>
          <t>SIGNATURE</t>
        </is>
      </c>
      <c r="F353" s="16" t="inlineStr">
        <is>
          <t>CARAMELS D'ISIGNY</t>
        </is>
      </c>
      <c r="G353" s="16" t="inlineStr">
        <is>
          <t>CARAMELS D'ISIGNY</t>
        </is>
      </c>
      <c r="H353" s="16" t="inlineStr">
        <is>
          <t>1KG</t>
        </is>
      </c>
      <c r="I353" s="16" t="inlineStr">
        <is>
          <t>1000 g</t>
        </is>
      </c>
      <c r="J353" s="16" t="inlineStr">
        <is>
          <t>NON</t>
        </is>
      </c>
      <c r="K353" s="17" t="inlineStr">
        <is>
          <t>20 %</t>
        </is>
      </c>
      <c r="L353" s="18" t="n">
        <v>13</v>
      </c>
      <c r="M353" s="9" t="n">
        <v>20.5</v>
      </c>
      <c r="N353" s="10" t="inlineStr">
        <is>
          <t>PROPOSÉ</t>
        </is>
      </c>
      <c r="O353" s="11">
        <f>IF(M353="","",M353-L353)</f>
        <v/>
      </c>
      <c r="P353" s="12">
        <f>IF(OR(M353="",M353=0),"",(M353-L353)/M353)</f>
        <v/>
      </c>
      <c r="Q353" s="13">
        <f>IF(OR(M353="",L353=0,L353=""),"",M353/L353)</f>
        <v/>
      </c>
      <c r="R353" s="11">
        <f>IF(M353="","",M353*1.2)</f>
        <v/>
      </c>
      <c r="S353" s="14" t="n"/>
      <c r="T353" s="15" t="n"/>
    </row>
    <row r="354">
      <c r="A354" s="6" t="inlineStr">
        <is>
          <t>PROD-0596</t>
        </is>
      </c>
      <c r="B354" s="6" t="inlineStr">
        <is>
          <t>VRAC CHOCOLAT</t>
        </is>
      </c>
      <c r="C354" s="6" t="inlineStr">
        <is>
          <t>CONFISERIE</t>
        </is>
      </c>
      <c r="D354" s="6" t="inlineStr">
        <is>
          <t>CARAMEL_VRAC</t>
        </is>
      </c>
      <c r="E354" s="6" t="inlineStr">
        <is>
          <t>SIGNATURE</t>
        </is>
      </c>
      <c r="F354" s="6" t="inlineStr">
        <is>
          <t>CARAMELS D'ISIGNY</t>
        </is>
      </c>
      <c r="G354" s="6" t="inlineStr">
        <is>
          <t>CARAMELS D'ISIGNY</t>
        </is>
      </c>
      <c r="H354" s="6" t="inlineStr">
        <is>
          <t>1KG</t>
        </is>
      </c>
      <c r="I354" s="6" t="inlineStr">
        <is>
          <t>1000 g</t>
        </is>
      </c>
      <c r="J354" s="6" t="inlineStr">
        <is>
          <t>NON</t>
        </is>
      </c>
      <c r="K354" s="7" t="inlineStr">
        <is>
          <t>20 %</t>
        </is>
      </c>
      <c r="L354" s="8" t="n">
        <v>13</v>
      </c>
      <c r="M354" s="9" t="n">
        <v>20.5</v>
      </c>
      <c r="N354" s="10" t="inlineStr">
        <is>
          <t>PROPOSÉ</t>
        </is>
      </c>
      <c r="O354" s="11">
        <f>IF(M354="","",M354-L354)</f>
        <v/>
      </c>
      <c r="P354" s="12">
        <f>IF(OR(M354="",M354=0),"",(M354-L354)/M354)</f>
        <v/>
      </c>
      <c r="Q354" s="13">
        <f>IF(OR(M354="",L354=0,L354=""),"",M354/L354)</f>
        <v/>
      </c>
      <c r="R354" s="11">
        <f>IF(M354="","",M354*1.2)</f>
        <v/>
      </c>
      <c r="S354" s="14" t="n"/>
      <c r="T354" s="15" t="n"/>
    </row>
    <row r="355">
      <c r="A355" s="16" t="inlineStr">
        <is>
          <t>PROD-0597</t>
        </is>
      </c>
      <c r="B355" s="16" t="inlineStr">
        <is>
          <t>VRAC NOISETTE</t>
        </is>
      </c>
      <c r="C355" s="16" t="inlineStr">
        <is>
          <t>CONFISERIE</t>
        </is>
      </c>
      <c r="D355" s="16" t="inlineStr">
        <is>
          <t>CARAMEL_VRAC</t>
        </is>
      </c>
      <c r="E355" s="16" t="inlineStr">
        <is>
          <t>SIGNATURE</t>
        </is>
      </c>
      <c r="F355" s="16" t="inlineStr">
        <is>
          <t>CARAMELS D'ISIGNY</t>
        </is>
      </c>
      <c r="G355" s="16" t="inlineStr">
        <is>
          <t>CARAMELS D'ISIGNY</t>
        </is>
      </c>
      <c r="H355" s="16" t="inlineStr">
        <is>
          <t>1KG</t>
        </is>
      </c>
      <c r="I355" s="16" t="inlineStr">
        <is>
          <t>1000 g</t>
        </is>
      </c>
      <c r="J355" s="16" t="inlineStr">
        <is>
          <t>NON</t>
        </is>
      </c>
      <c r="K355" s="17" t="inlineStr">
        <is>
          <t>20 %</t>
        </is>
      </c>
      <c r="L355" s="18" t="n">
        <v>13</v>
      </c>
      <c r="M355" s="9" t="n">
        <v>20.5</v>
      </c>
      <c r="N355" s="10" t="inlineStr">
        <is>
          <t>PROPOSÉ</t>
        </is>
      </c>
      <c r="O355" s="11">
        <f>IF(M355="","",M355-L355)</f>
        <v/>
      </c>
      <c r="P355" s="12">
        <f>IF(OR(M355="",M355=0),"",(M355-L355)/M355)</f>
        <v/>
      </c>
      <c r="Q355" s="13">
        <f>IF(OR(M355="",L355=0,L355=""),"",M355/L355)</f>
        <v/>
      </c>
      <c r="R355" s="11">
        <f>IF(M355="","",M355*1.2)</f>
        <v/>
      </c>
      <c r="S355" s="14" t="n"/>
      <c r="T355" s="15" t="n"/>
    </row>
    <row r="356">
      <c r="A356" s="6" t="inlineStr">
        <is>
          <t>PROD-0546</t>
        </is>
      </c>
      <c r="B356" s="6" t="inlineStr">
        <is>
          <t>2 CV FOURGONNETTE</t>
        </is>
      </c>
      <c r="C356" s="6" t="inlineStr">
        <is>
          <t>CONFISERIE</t>
        </is>
      </c>
      <c r="D356" s="6" t="inlineStr">
        <is>
          <t>CARAMEL</t>
        </is>
      </c>
      <c r="E356" s="6" t="inlineStr">
        <is>
          <t>SIGNATURE</t>
        </is>
      </c>
      <c r="F356" s="6" t="inlineStr">
        <is>
          <t>CARAMELS D'ISIGNY</t>
        </is>
      </c>
      <c r="G356" s="6" t="inlineStr">
        <is>
          <t>CARAMELS D'ISIGNY</t>
        </is>
      </c>
      <c r="H356" s="6" t="inlineStr">
        <is>
          <t>150G</t>
        </is>
      </c>
      <c r="I356" s="6" t="inlineStr">
        <is>
          <t>150 g</t>
        </is>
      </c>
      <c r="J356" s="6" t="inlineStr">
        <is>
          <t>NON</t>
        </is>
      </c>
      <c r="K356" s="7" t="inlineStr">
        <is>
          <t>20 %</t>
        </is>
      </c>
      <c r="L356" s="8" t="n">
        <v>9.5</v>
      </c>
      <c r="M356" s="9" t="n">
        <v>21</v>
      </c>
      <c r="N356" s="10" t="inlineStr">
        <is>
          <t>PROPOSÉ</t>
        </is>
      </c>
      <c r="O356" s="11">
        <f>IF(M356="","",M356-L356)</f>
        <v/>
      </c>
      <c r="P356" s="12">
        <f>IF(OR(M356="",M356=0),"",(M356-L356)/M356)</f>
        <v/>
      </c>
      <c r="Q356" s="13">
        <f>IF(OR(M356="",L356=0,L356=""),"",M356/L356)</f>
        <v/>
      </c>
      <c r="R356" s="11">
        <f>IF(M356="","",M356*1.2)</f>
        <v/>
      </c>
      <c r="S356" s="14" t="n"/>
      <c r="T356" s="15" t="n"/>
    </row>
    <row r="357">
      <c r="A357" s="16" t="inlineStr">
        <is>
          <t>PROD-0558</t>
        </is>
      </c>
      <c r="B357" s="16" t="inlineStr">
        <is>
          <t>CITROËN 2CV "NOËL"</t>
        </is>
      </c>
      <c r="C357" s="16" t="inlineStr">
        <is>
          <t>CONFISERIE</t>
        </is>
      </c>
      <c r="D357" s="16" t="inlineStr">
        <is>
          <t>CARAMEL</t>
        </is>
      </c>
      <c r="E357" s="16" t="inlineStr">
        <is>
          <t>SIGNATURE</t>
        </is>
      </c>
      <c r="F357" s="16" t="inlineStr">
        <is>
          <t>CARAMELS D'ISIGNY</t>
        </is>
      </c>
      <c r="G357" s="16" t="inlineStr">
        <is>
          <t>CARAMELS D'ISIGNY</t>
        </is>
      </c>
      <c r="H357" s="16" t="inlineStr">
        <is>
          <t>150G</t>
        </is>
      </c>
      <c r="I357" s="16" t="inlineStr">
        <is>
          <t>150 g</t>
        </is>
      </c>
      <c r="J357" s="16" t="inlineStr">
        <is>
          <t>NON</t>
        </is>
      </c>
      <c r="K357" s="17" t="inlineStr">
        <is>
          <t>20 %</t>
        </is>
      </c>
      <c r="L357" s="18" t="n">
        <v>9.5</v>
      </c>
      <c r="M357" s="9" t="n">
        <v>21</v>
      </c>
      <c r="N357" s="10" t="inlineStr">
        <is>
          <t>PROPOSÉ</t>
        </is>
      </c>
      <c r="O357" s="11">
        <f>IF(M357="","",M357-L357)</f>
        <v/>
      </c>
      <c r="P357" s="12">
        <f>IF(OR(M357="",M357=0),"",(M357-L357)/M357)</f>
        <v/>
      </c>
      <c r="Q357" s="13">
        <f>IF(OR(M357="",L357=0,L357=""),"",M357/L357)</f>
        <v/>
      </c>
      <c r="R357" s="11">
        <f>IF(M357="","",M357*1.2)</f>
        <v/>
      </c>
      <c r="S357" s="14" t="n"/>
      <c r="T357" s="15" t="n"/>
    </row>
    <row r="358">
      <c r="A358" s="6" t="inlineStr">
        <is>
          <t>PROD-0553</t>
        </is>
      </c>
      <c r="B358" s="6" t="inlineStr">
        <is>
          <t>FOLKLORE NORMAND</t>
        </is>
      </c>
      <c r="C358" s="6" t="inlineStr">
        <is>
          <t>CONFISERIE</t>
        </is>
      </c>
      <c r="D358" s="6" t="inlineStr">
        <is>
          <t>CARAMEL</t>
        </is>
      </c>
      <c r="E358" s="6" t="inlineStr">
        <is>
          <t>SIGNATURE</t>
        </is>
      </c>
      <c r="F358" s="6" t="inlineStr">
        <is>
          <t>CARAMELS D'ISIGNY</t>
        </is>
      </c>
      <c r="G358" s="6" t="inlineStr">
        <is>
          <t>CARAMELS D'ISIGNY</t>
        </is>
      </c>
      <c r="H358" s="6" t="inlineStr">
        <is>
          <t>200G</t>
        </is>
      </c>
      <c r="I358" s="6" t="inlineStr">
        <is>
          <t>200 g</t>
        </is>
      </c>
      <c r="J358" s="6" t="inlineStr">
        <is>
          <t>NON</t>
        </is>
      </c>
      <c r="K358" s="7" t="inlineStr">
        <is>
          <t>20 %</t>
        </is>
      </c>
      <c r="L358" s="8" t="n">
        <v>9.25</v>
      </c>
      <c r="M358" s="9" t="n">
        <v>20.5</v>
      </c>
      <c r="N358" s="10" t="inlineStr">
        <is>
          <t>PROPOSÉ</t>
        </is>
      </c>
      <c r="O358" s="11">
        <f>IF(M358="","",M358-L358)</f>
        <v/>
      </c>
      <c r="P358" s="12">
        <f>IF(OR(M358="",M358=0),"",(M358-L358)/M358)</f>
        <v/>
      </c>
      <c r="Q358" s="13">
        <f>IF(OR(M358="",L358=0,L358=""),"",M358/L358)</f>
        <v/>
      </c>
      <c r="R358" s="11">
        <f>IF(M358="","",M358*1.2)</f>
        <v/>
      </c>
      <c r="S358" s="14" t="n"/>
      <c r="T358" s="15" t="n"/>
    </row>
    <row r="359">
      <c r="A359" s="16" t="inlineStr">
        <is>
          <t>PROD-0554</t>
        </is>
      </c>
      <c r="B359" s="16" t="inlineStr">
        <is>
          <t>CARROUSEL</t>
        </is>
      </c>
      <c r="C359" s="16" t="inlineStr">
        <is>
          <t>CONFISERIE</t>
        </is>
      </c>
      <c r="D359" s="16" t="inlineStr">
        <is>
          <t>CARAMEL</t>
        </is>
      </c>
      <c r="E359" s="16" t="inlineStr">
        <is>
          <t>SIGNATURE</t>
        </is>
      </c>
      <c r="F359" s="16" t="inlineStr">
        <is>
          <t>CARAMELS D'ISIGNY</t>
        </is>
      </c>
      <c r="G359" s="16" t="inlineStr">
        <is>
          <t>CARAMELS D'ISIGNY</t>
        </is>
      </c>
      <c r="H359" s="16" t="inlineStr">
        <is>
          <t>200G</t>
        </is>
      </c>
      <c r="I359" s="16" t="inlineStr">
        <is>
          <t>200 g</t>
        </is>
      </c>
      <c r="J359" s="16" t="inlineStr">
        <is>
          <t>NON</t>
        </is>
      </c>
      <c r="K359" s="17" t="inlineStr">
        <is>
          <t>20 %</t>
        </is>
      </c>
      <c r="L359" s="18" t="n">
        <v>9.25</v>
      </c>
      <c r="M359" s="9" t="n">
        <v>20.5</v>
      </c>
      <c r="N359" s="10" t="inlineStr">
        <is>
          <t>PROPOSÉ</t>
        </is>
      </c>
      <c r="O359" s="11">
        <f>IF(M359="","",M359-L359)</f>
        <v/>
      </c>
      <c r="P359" s="12">
        <f>IF(OR(M359="",M359=0),"",(M359-L359)/M359)</f>
        <v/>
      </c>
      <c r="Q359" s="13">
        <f>IF(OR(M359="",L359=0,L359=""),"",M359/L359)</f>
        <v/>
      </c>
      <c r="R359" s="11">
        <f>IF(M359="","",M359*1.2)</f>
        <v/>
      </c>
      <c r="S359" s="14" t="n"/>
      <c r="T359" s="15" t="n"/>
    </row>
    <row r="360">
      <c r="A360" s="6" t="inlineStr">
        <is>
          <t>PROD-0311</t>
        </is>
      </c>
      <c r="B360" s="6" t="inlineStr">
        <is>
          <t>Calvados Arrangé Pomme Caramel 20 cl</t>
        </is>
      </c>
      <c r="C360" s="6" t="inlineStr">
        <is>
          <t>CONFISERIE</t>
        </is>
      </c>
      <c r="D360" s="6" t="inlineStr">
        <is>
          <t>CARAMEL</t>
        </is>
      </c>
      <c r="E360" s="6" t="inlineStr">
        <is>
          <t>SIGNATURE</t>
        </is>
      </c>
      <c r="F360" s="6" t="inlineStr">
        <is>
          <t>POM’ POM’</t>
        </is>
      </c>
      <c r="G360" s="6" t="inlineStr">
        <is>
          <t>NORMAND DIRECT TERROIR</t>
        </is>
      </c>
      <c r="H360" s="6" t="inlineStr"/>
      <c r="I360" s="6" t="inlineStr">
        <is>
          <t>200 ml</t>
        </is>
      </c>
      <c r="J360" s="6" t="inlineStr">
        <is>
          <t>INGREDIENT_ALCOOLISE</t>
        </is>
      </c>
      <c r="K360" s="7" t="inlineStr">
        <is>
          <t>20 %</t>
        </is>
      </c>
      <c r="L360" s="8" t="n">
        <v>9.1</v>
      </c>
      <c r="M360" s="9" t="n">
        <v>20</v>
      </c>
      <c r="N360" s="10" t="inlineStr">
        <is>
          <t>PROPOSÉ</t>
        </is>
      </c>
      <c r="O360" s="11">
        <f>IF(M360="","",M360-L360)</f>
        <v/>
      </c>
      <c r="P360" s="12">
        <f>IF(OR(M360="",M360=0),"",(M360-L360)/M360)</f>
        <v/>
      </c>
      <c r="Q360" s="13">
        <f>IF(OR(M360="",L360=0,L360=""),"",M360/L360)</f>
        <v/>
      </c>
      <c r="R360" s="11">
        <f>IF(M360="","",M360*1.2)</f>
        <v/>
      </c>
      <c r="S360" s="14" t="n"/>
      <c r="T360" s="15" t="n"/>
    </row>
    <row r="361">
      <c r="A361" s="16" t="inlineStr">
        <is>
          <t>PROD-0497</t>
        </is>
      </c>
      <c r="B361" s="16" t="inlineStr">
        <is>
          <t>Grande boite ronde 150gr</t>
        </is>
      </c>
      <c r="C361" s="16" t="inlineStr">
        <is>
          <t>CONFISERIE</t>
        </is>
      </c>
      <c r="D361" s="16" t="inlineStr">
        <is>
          <t>BONBON_ET_CONFISERIE</t>
        </is>
      </c>
      <c r="E361" s="16" t="inlineStr">
        <is>
          <t>SIGNATURE</t>
        </is>
      </c>
      <c r="F361" s="16" t="inlineStr">
        <is>
          <t>CROCAEN'T</t>
        </is>
      </c>
      <c r="G361" s="16" t="inlineStr">
        <is>
          <t>NORMAND DIRECT TERROIR</t>
        </is>
      </c>
      <c r="H361" s="16" t="inlineStr">
        <is>
          <t>billes chocolatées</t>
        </is>
      </c>
      <c r="I361" s="16" t="inlineStr">
        <is>
          <t>150 g</t>
        </is>
      </c>
      <c r="J361" s="16" t="inlineStr">
        <is>
          <t>NON</t>
        </is>
      </c>
      <c r="K361" s="17" t="inlineStr">
        <is>
          <t>5.5 %</t>
        </is>
      </c>
      <c r="L361" s="18" t="n">
        <v>8.35</v>
      </c>
      <c r="M361" s="9" t="n">
        <v>18.4</v>
      </c>
      <c r="N361" s="10" t="inlineStr">
        <is>
          <t>PROPOSÉ</t>
        </is>
      </c>
      <c r="O361" s="11">
        <f>IF(M361="","",M361-L361)</f>
        <v/>
      </c>
      <c r="P361" s="12">
        <f>IF(OR(M361="",M361=0),"",(M361-L361)/M361)</f>
        <v/>
      </c>
      <c r="Q361" s="13">
        <f>IF(OR(M361="",L361=0,L361=""),"",M361/L361)</f>
        <v/>
      </c>
      <c r="R361" s="11">
        <f>IF(M361="","",M361*1.055)</f>
        <v/>
      </c>
      <c r="S361" s="14" t="n"/>
      <c r="T361" s="15" t="n"/>
    </row>
    <row r="362">
      <c r="A362" s="6" t="inlineStr">
        <is>
          <t>PROD-0555</t>
        </is>
      </c>
      <c r="B362" s="6" t="inlineStr">
        <is>
          <t>BOÎTE "PRESTIGE"</t>
        </is>
      </c>
      <c r="C362" s="6" t="inlineStr">
        <is>
          <t>CONFISERIE</t>
        </is>
      </c>
      <c r="D362" s="6" t="inlineStr">
        <is>
          <t>CARAMEL</t>
        </is>
      </c>
      <c r="E362" s="6" t="inlineStr">
        <is>
          <t>SIGNATURE</t>
        </is>
      </c>
      <c r="F362" s="6" t="inlineStr">
        <is>
          <t>CARAMELS D'ISIGNY</t>
        </is>
      </c>
      <c r="G362" s="6" t="inlineStr">
        <is>
          <t>CARAMELS D'ISIGNY</t>
        </is>
      </c>
      <c r="H362" s="6" t="inlineStr">
        <is>
          <t>250G</t>
        </is>
      </c>
      <c r="I362" s="6" t="inlineStr">
        <is>
          <t>250 g</t>
        </is>
      </c>
      <c r="J362" s="6" t="inlineStr">
        <is>
          <t>NON</t>
        </is>
      </c>
      <c r="K362" s="7" t="inlineStr">
        <is>
          <t>20 %</t>
        </is>
      </c>
      <c r="L362" s="8" t="n">
        <v>7.9</v>
      </c>
      <c r="M362" s="9" t="n">
        <v>19</v>
      </c>
      <c r="N362" s="10" t="inlineStr">
        <is>
          <t>PROPOSÉ</t>
        </is>
      </c>
      <c r="O362" s="11">
        <f>IF(M362="","",M362-L362)</f>
        <v/>
      </c>
      <c r="P362" s="12">
        <f>IF(OR(M362="",M362=0),"",(M362-L362)/M362)</f>
        <v/>
      </c>
      <c r="Q362" s="13">
        <f>IF(OR(M362="",L362=0,L362=""),"",M362/L362)</f>
        <v/>
      </c>
      <c r="R362" s="11">
        <f>IF(M362="","",M362*1.2)</f>
        <v/>
      </c>
      <c r="S362" s="14" t="n"/>
      <c r="T362" s="15" t="n"/>
    </row>
    <row r="363">
      <c r="A363" s="16" t="inlineStr">
        <is>
          <t>PROD-0556</t>
        </is>
      </c>
      <c r="B363" s="16" t="inlineStr">
        <is>
          <t>BOÎTE "SOUVENIRS D’ENFANCE"</t>
        </is>
      </c>
      <c r="C363" s="16" t="inlineStr">
        <is>
          <t>CONFISERIE</t>
        </is>
      </c>
      <c r="D363" s="16" t="inlineStr">
        <is>
          <t>CARAMEL</t>
        </is>
      </c>
      <c r="E363" s="16" t="inlineStr">
        <is>
          <t>SIGNATURE</t>
        </is>
      </c>
      <c r="F363" s="16" t="inlineStr">
        <is>
          <t>CARAMELS D'ISIGNY</t>
        </is>
      </c>
      <c r="G363" s="16" t="inlineStr">
        <is>
          <t>CARAMELS D'ISIGNY</t>
        </is>
      </c>
      <c r="H363" s="16" t="inlineStr">
        <is>
          <t>250G</t>
        </is>
      </c>
      <c r="I363" s="16" t="inlineStr">
        <is>
          <t>250 g</t>
        </is>
      </c>
      <c r="J363" s="16" t="inlineStr">
        <is>
          <t>NON</t>
        </is>
      </c>
      <c r="K363" s="17" t="inlineStr">
        <is>
          <t>20 %</t>
        </is>
      </c>
      <c r="L363" s="18" t="n">
        <v>7.9</v>
      </c>
      <c r="M363" s="9" t="n">
        <v>19</v>
      </c>
      <c r="N363" s="10" t="inlineStr">
        <is>
          <t>PROPOSÉ</t>
        </is>
      </c>
      <c r="O363" s="11">
        <f>IF(M363="","",M363-L363)</f>
        <v/>
      </c>
      <c r="P363" s="12">
        <f>IF(OR(M363="",M363=0),"",(M363-L363)/M363)</f>
        <v/>
      </c>
      <c r="Q363" s="13">
        <f>IF(OR(M363="",L363=0,L363=""),"",M363/L363)</f>
        <v/>
      </c>
      <c r="R363" s="11">
        <f>IF(M363="","",M363*1.2)</f>
        <v/>
      </c>
      <c r="S363" s="14" t="n"/>
      <c r="T363" s="15" t="n"/>
    </row>
    <row r="364">
      <c r="A364" s="6" t="inlineStr">
        <is>
          <t>PROD-0281</t>
        </is>
      </c>
      <c r="B364" s="6" t="inlineStr">
        <is>
          <t>CARAMELS d'Isigny 200 g Assortiment Normand</t>
        </is>
      </c>
      <c r="C364" s="6" t="inlineStr">
        <is>
          <t>CONFISERIE</t>
        </is>
      </c>
      <c r="D364" s="6" t="inlineStr">
        <is>
          <t>CARAMEL</t>
        </is>
      </c>
      <c r="E364" s="6" t="inlineStr">
        <is>
          <t>SIGNATURE</t>
        </is>
      </c>
      <c r="F364" s="6" t="inlineStr">
        <is>
          <t>BALADES NORMANDES</t>
        </is>
      </c>
      <c r="G364" s="6" t="inlineStr">
        <is>
          <t>NORMAND DIRECT TERROIR</t>
        </is>
      </c>
      <c r="H364" s="6" t="inlineStr">
        <is>
          <t>Boîte 4 faces</t>
        </is>
      </c>
      <c r="I364" s="6" t="inlineStr">
        <is>
          <t>200 g</t>
        </is>
      </c>
      <c r="J364" s="6" t="inlineStr">
        <is>
          <t>NON</t>
        </is>
      </c>
      <c r="K364" s="7" t="inlineStr">
        <is>
          <t>20 %</t>
        </is>
      </c>
      <c r="L364" s="8" t="n">
        <v>7.5</v>
      </c>
      <c r="M364" s="9" t="n">
        <v>18</v>
      </c>
      <c r="N364" s="10" t="inlineStr">
        <is>
          <t>PROPOSÉ</t>
        </is>
      </c>
      <c r="O364" s="11">
        <f>IF(M364="","",M364-L364)</f>
        <v/>
      </c>
      <c r="P364" s="12">
        <f>IF(OR(M364="",M364=0),"",(M364-L364)/M364)</f>
        <v/>
      </c>
      <c r="Q364" s="13">
        <f>IF(OR(M364="",L364=0,L364=""),"",M364/L364)</f>
        <v/>
      </c>
      <c r="R364" s="11">
        <f>IF(M364="","",M364*1.2)</f>
        <v/>
      </c>
      <c r="S364" s="14" t="n"/>
      <c r="T364" s="15" t="n"/>
    </row>
    <row r="365">
      <c r="A365" s="16" t="inlineStr">
        <is>
          <t>PROD-0496</t>
        </is>
      </c>
      <c r="B365" s="16" t="inlineStr">
        <is>
          <t>Petite boite ronde 90gr</t>
        </is>
      </c>
      <c r="C365" s="16" t="inlineStr">
        <is>
          <t>CONFISERIE</t>
        </is>
      </c>
      <c r="D365" s="16" t="inlineStr">
        <is>
          <t>BONBON_ET_CONFISERIE</t>
        </is>
      </c>
      <c r="E365" s="16" t="inlineStr">
        <is>
          <t>SIGNATURE</t>
        </is>
      </c>
      <c r="F365" s="16" t="inlineStr">
        <is>
          <t>CROCAEN'T</t>
        </is>
      </c>
      <c r="G365" s="16" t="inlineStr">
        <is>
          <t>NORMAND DIRECT TERROIR</t>
        </is>
      </c>
      <c r="H365" s="16" t="inlineStr">
        <is>
          <t>billes chocolatées</t>
        </is>
      </c>
      <c r="I365" s="16" t="inlineStr">
        <is>
          <t>90 g</t>
        </is>
      </c>
      <c r="J365" s="16" t="inlineStr">
        <is>
          <t>NON</t>
        </is>
      </c>
      <c r="K365" s="17" t="inlineStr">
        <is>
          <t>5.5 %</t>
        </is>
      </c>
      <c r="L365" s="18" t="n">
        <v>5.55</v>
      </c>
      <c r="M365" s="9" t="n">
        <v>13.3</v>
      </c>
      <c r="N365" s="10" t="inlineStr">
        <is>
          <t>PROPOSÉ</t>
        </is>
      </c>
      <c r="O365" s="11">
        <f>IF(M365="","",M365-L365)</f>
        <v/>
      </c>
      <c r="P365" s="12">
        <f>IF(OR(M365="",M365=0),"",(M365-L365)/M365)</f>
        <v/>
      </c>
      <c r="Q365" s="13">
        <f>IF(OR(M365="",L365=0,L365=""),"",M365/L365)</f>
        <v/>
      </c>
      <c r="R365" s="11">
        <f>IF(M365="","",M365*1.055)</f>
        <v/>
      </c>
      <c r="S365" s="14" t="n"/>
      <c r="T365" s="15" t="n"/>
    </row>
    <row r="366">
      <c r="A366" s="6" t="inlineStr">
        <is>
          <t>PROD-0498</t>
        </is>
      </c>
      <c r="B366" s="6" t="inlineStr">
        <is>
          <t>Sachet Kraft 100gr</t>
        </is>
      </c>
      <c r="C366" s="6" t="inlineStr">
        <is>
          <t>CONFISERIE</t>
        </is>
      </c>
      <c r="D366" s="6" t="inlineStr">
        <is>
          <t>BONBON_ET_CONFISERIE</t>
        </is>
      </c>
      <c r="E366" s="6" t="inlineStr">
        <is>
          <t>SIGNATURE</t>
        </is>
      </c>
      <c r="F366" s="6" t="inlineStr">
        <is>
          <t>CROCAEN'T</t>
        </is>
      </c>
      <c r="G366" s="6" t="inlineStr">
        <is>
          <t>NORMAND DIRECT TERROIR</t>
        </is>
      </c>
      <c r="H366" s="6" t="inlineStr">
        <is>
          <t>billes chocolatées</t>
        </is>
      </c>
      <c r="I366" s="6" t="inlineStr">
        <is>
          <t>100 g</t>
        </is>
      </c>
      <c r="J366" s="6" t="inlineStr">
        <is>
          <t>NON</t>
        </is>
      </c>
      <c r="K366" s="7" t="inlineStr">
        <is>
          <t>5.5 %</t>
        </is>
      </c>
      <c r="L366" s="8" t="n">
        <v>5.55</v>
      </c>
      <c r="M366" s="9" t="n">
        <v>13.3</v>
      </c>
      <c r="N366" s="10" t="inlineStr">
        <is>
          <t>PROPOSÉ</t>
        </is>
      </c>
      <c r="O366" s="11">
        <f>IF(M366="","",M366-L366)</f>
        <v/>
      </c>
      <c r="P366" s="12">
        <f>IF(OR(M366="",M366=0),"",(M366-L366)/M366)</f>
        <v/>
      </c>
      <c r="Q366" s="13">
        <f>IF(OR(M366="",L366=0,L366=""),"",M366/L366)</f>
        <v/>
      </c>
      <c r="R366" s="11">
        <f>IF(M366="","",M366*1.055)</f>
        <v/>
      </c>
      <c r="S366" s="14" t="n"/>
      <c r="T366" s="15" t="n"/>
    </row>
    <row r="367">
      <c r="A367" s="16" t="inlineStr">
        <is>
          <t>PROD-0545</t>
        </is>
      </c>
      <c r="B367" s="16" t="inlineStr">
        <is>
          <t>BOÎTE CIGARE</t>
        </is>
      </c>
      <c r="C367" s="16" t="inlineStr">
        <is>
          <t>CONFISERIE</t>
        </is>
      </c>
      <c r="D367" s="16" t="inlineStr">
        <is>
          <t>CARAMEL</t>
        </is>
      </c>
      <c r="E367" s="16" t="inlineStr">
        <is>
          <t>SIGNATURE</t>
        </is>
      </c>
      <c r="F367" s="16" t="inlineStr">
        <is>
          <t>CARAMELS D'ISIGNY</t>
        </is>
      </c>
      <c r="G367" s="16" t="inlineStr">
        <is>
          <t>CARAMELS D'ISIGNY</t>
        </is>
      </c>
      <c r="H367" s="16" t="inlineStr">
        <is>
          <t>180G</t>
        </is>
      </c>
      <c r="I367" s="16" t="inlineStr">
        <is>
          <t>180 g</t>
        </is>
      </c>
      <c r="J367" s="16" t="inlineStr">
        <is>
          <t>NON</t>
        </is>
      </c>
      <c r="K367" s="17" t="inlineStr">
        <is>
          <t>20 %</t>
        </is>
      </c>
      <c r="L367" s="18" t="n">
        <v>5.5</v>
      </c>
      <c r="M367" s="9" t="n">
        <v>13.2</v>
      </c>
      <c r="N367" s="10" t="inlineStr">
        <is>
          <t>PROPOSÉ</t>
        </is>
      </c>
      <c r="O367" s="11">
        <f>IF(M367="","",M367-L367)</f>
        <v/>
      </c>
      <c r="P367" s="12">
        <f>IF(OR(M367="",M367=0),"",(M367-L367)/M367)</f>
        <v/>
      </c>
      <c r="Q367" s="13">
        <f>IF(OR(M367="",L367=0,L367=""),"",M367/L367)</f>
        <v/>
      </c>
      <c r="R367" s="11">
        <f>IF(M367="","",M367*1.2)</f>
        <v/>
      </c>
      <c r="S367" s="14" t="n"/>
      <c r="T367" s="15" t="n"/>
    </row>
    <row r="368">
      <c r="A368" s="6" t="inlineStr">
        <is>
          <t>PROD-0551</t>
        </is>
      </c>
      <c r="B368" s="6" t="inlineStr">
        <is>
          <t>BOÎTE CIGARE</t>
        </is>
      </c>
      <c r="C368" s="6" t="inlineStr">
        <is>
          <t>CONFISERIE</t>
        </is>
      </c>
      <c r="D368" s="6" t="inlineStr">
        <is>
          <t>CARAMEL</t>
        </is>
      </c>
      <c r="E368" s="6" t="inlineStr">
        <is>
          <t>SIGNATURE</t>
        </is>
      </c>
      <c r="F368" s="6" t="inlineStr">
        <is>
          <t>CARAMELS D'ISIGNY</t>
        </is>
      </c>
      <c r="G368" s="6" t="inlineStr">
        <is>
          <t>CARAMELS D'ISIGNY</t>
        </is>
      </c>
      <c r="H368" s="6" t="inlineStr">
        <is>
          <t>180G</t>
        </is>
      </c>
      <c r="I368" s="6" t="inlineStr">
        <is>
          <t>180 g</t>
        </is>
      </c>
      <c r="J368" s="6" t="inlineStr">
        <is>
          <t>NON</t>
        </is>
      </c>
      <c r="K368" s="7" t="inlineStr">
        <is>
          <t>20 %</t>
        </is>
      </c>
      <c r="L368" s="8" t="n">
        <v>5.5</v>
      </c>
      <c r="M368" s="9" t="n">
        <v>13.2</v>
      </c>
      <c r="N368" s="10" t="inlineStr">
        <is>
          <t>PROPOSÉ</t>
        </is>
      </c>
      <c r="O368" s="11">
        <f>IF(M368="","",M368-L368)</f>
        <v/>
      </c>
      <c r="P368" s="12">
        <f>IF(OR(M368="",M368=0),"",(M368-L368)/M368)</f>
        <v/>
      </c>
      <c r="Q368" s="13">
        <f>IF(OR(M368="",L368=0,L368=""),"",M368/L368)</f>
        <v/>
      </c>
      <c r="R368" s="11">
        <f>IF(M368="","",M368*1.2)</f>
        <v/>
      </c>
      <c r="S368" s="14" t="n"/>
      <c r="T368" s="15" t="n"/>
    </row>
    <row r="369">
      <c r="A369" s="16" t="inlineStr">
        <is>
          <t>PROD-0535</t>
        </is>
      </c>
      <c r="B369" s="16" t="inlineStr">
        <is>
          <t>BOÎTE MÉTAL À FENÊTRE "GOÛT TATIN"</t>
        </is>
      </c>
      <c r="C369" s="16" t="inlineStr">
        <is>
          <t>CONFISERIE</t>
        </is>
      </c>
      <c r="D369" s="16" t="inlineStr">
        <is>
          <t>CARAMEL</t>
        </is>
      </c>
      <c r="E369" s="16" t="inlineStr">
        <is>
          <t>SIGNATURE</t>
        </is>
      </c>
      <c r="F369" s="16" t="inlineStr">
        <is>
          <t>CARAMELS D'ISIGNY</t>
        </is>
      </c>
      <c r="G369" s="16" t="inlineStr">
        <is>
          <t>CARAMELS D'ISIGNY</t>
        </is>
      </c>
      <c r="H369" s="16" t="inlineStr">
        <is>
          <t>150G</t>
        </is>
      </c>
      <c r="I369" s="16" t="inlineStr">
        <is>
          <t>150 g</t>
        </is>
      </c>
      <c r="J369" s="16" t="inlineStr">
        <is>
          <t>NON</t>
        </is>
      </c>
      <c r="K369" s="17" t="inlineStr">
        <is>
          <t>20 %</t>
        </is>
      </c>
      <c r="L369" s="18" t="n">
        <v>5.15</v>
      </c>
      <c r="M369" s="9" t="n">
        <v>12.4</v>
      </c>
      <c r="N369" s="10" t="inlineStr">
        <is>
          <t>PROPOSÉ</t>
        </is>
      </c>
      <c r="O369" s="11">
        <f>IF(M369="","",M369-L369)</f>
        <v/>
      </c>
      <c r="P369" s="12">
        <f>IF(OR(M369="",M369=0),"",(M369-L369)/M369)</f>
        <v/>
      </c>
      <c r="Q369" s="13">
        <f>IF(OR(M369="",L369=0,L369=""),"",M369/L369)</f>
        <v/>
      </c>
      <c r="R369" s="11">
        <f>IF(M369="","",M369*1.2)</f>
        <v/>
      </c>
      <c r="S369" s="14" t="n"/>
      <c r="T369" s="15" t="n"/>
    </row>
    <row r="370">
      <c r="A370" s="6" t="inlineStr">
        <is>
          <t>PROD-0278</t>
        </is>
      </c>
      <c r="B370" s="6" t="inlineStr">
        <is>
          <t>CARAMELS d'Isigny Fondant beurre salé 150 g Caen</t>
        </is>
      </c>
      <c r="C370" s="6" t="inlineStr">
        <is>
          <t>CONFISERIE</t>
        </is>
      </c>
      <c r="D370" s="6" t="inlineStr">
        <is>
          <t>CARAMEL</t>
        </is>
      </c>
      <c r="E370" s="6" t="inlineStr">
        <is>
          <t>SIGNATURE</t>
        </is>
      </c>
      <c r="F370" s="6" t="inlineStr">
        <is>
          <t>BALADES NORMANDES</t>
        </is>
      </c>
      <c r="G370" s="6" t="inlineStr">
        <is>
          <t>NORMAND DIRECT TERROIR</t>
        </is>
      </c>
      <c r="H370" s="6" t="inlineStr">
        <is>
          <t>Boîte bois ronde</t>
        </is>
      </c>
      <c r="I370" s="6" t="inlineStr">
        <is>
          <t>150 g</t>
        </is>
      </c>
      <c r="J370" s="6" t="inlineStr">
        <is>
          <t>NON</t>
        </is>
      </c>
      <c r="K370" s="7" t="inlineStr">
        <is>
          <t>20 %</t>
        </is>
      </c>
      <c r="L370" s="8" t="n">
        <v>5.11</v>
      </c>
      <c r="M370" s="9" t="n">
        <v>12.3</v>
      </c>
      <c r="N370" s="10" t="inlineStr">
        <is>
          <t>PROPOSÉ</t>
        </is>
      </c>
      <c r="O370" s="11">
        <f>IF(M370="","",M370-L370)</f>
        <v/>
      </c>
      <c r="P370" s="12">
        <f>IF(OR(M370="",M370=0),"",(M370-L370)/M370)</f>
        <v/>
      </c>
      <c r="Q370" s="13">
        <f>IF(OR(M370="",L370=0,L370=""),"",M370/L370)</f>
        <v/>
      </c>
      <c r="R370" s="11">
        <f>IF(M370="","",M370*1.2)</f>
        <v/>
      </c>
      <c r="S370" s="14" t="n"/>
      <c r="T370" s="15" t="n"/>
    </row>
    <row r="371">
      <c r="A371" s="16" t="inlineStr">
        <is>
          <t>PROD-0279</t>
        </is>
      </c>
      <c r="B371" s="16" t="inlineStr">
        <is>
          <t>CARAMELS d'Isigny beurre salé 150 g Deauville</t>
        </is>
      </c>
      <c r="C371" s="16" t="inlineStr">
        <is>
          <t>CONFISERIE</t>
        </is>
      </c>
      <c r="D371" s="16" t="inlineStr">
        <is>
          <t>CARAMEL</t>
        </is>
      </c>
      <c r="E371" s="16" t="inlineStr">
        <is>
          <t>SIGNATURE</t>
        </is>
      </c>
      <c r="F371" s="16" t="inlineStr">
        <is>
          <t>BALADES NORMANDES</t>
        </is>
      </c>
      <c r="G371" s="16" t="inlineStr">
        <is>
          <t>NORMAND DIRECT TERROIR</t>
        </is>
      </c>
      <c r="H371" s="16" t="inlineStr">
        <is>
          <t>Boîte bois ronde</t>
        </is>
      </c>
      <c r="I371" s="16" t="inlineStr">
        <is>
          <t>150 g</t>
        </is>
      </c>
      <c r="J371" s="16" t="inlineStr">
        <is>
          <t>NON</t>
        </is>
      </c>
      <c r="K371" s="17" t="inlineStr">
        <is>
          <t>20 %</t>
        </is>
      </c>
      <c r="L371" s="18" t="n">
        <v>5.11</v>
      </c>
      <c r="M371" s="9" t="n">
        <v>12.3</v>
      </c>
      <c r="N371" s="10" t="inlineStr">
        <is>
          <t>PROPOSÉ</t>
        </is>
      </c>
      <c r="O371" s="11">
        <f>IF(M371="","",M371-L371)</f>
        <v/>
      </c>
      <c r="P371" s="12">
        <f>IF(OR(M371="",M371=0),"",(M371-L371)/M371)</f>
        <v/>
      </c>
      <c r="Q371" s="13">
        <f>IF(OR(M371="",L371=0,L371=""),"",M371/L371)</f>
        <v/>
      </c>
      <c r="R371" s="11">
        <f>IF(M371="","",M371*1.2)</f>
        <v/>
      </c>
      <c r="S371" s="14" t="n"/>
      <c r="T371" s="15" t="n"/>
    </row>
    <row r="372">
      <c r="A372" s="6" t="inlineStr">
        <is>
          <t>PROD-0280</t>
        </is>
      </c>
      <c r="B372" s="6" t="inlineStr">
        <is>
          <t>CARAMELS d'Isigny 150 g Assortiment Normand Vache</t>
        </is>
      </c>
      <c r="C372" s="6" t="inlineStr">
        <is>
          <t>CONFISERIE</t>
        </is>
      </c>
      <c r="D372" s="6" t="inlineStr">
        <is>
          <t>CARAMEL</t>
        </is>
      </c>
      <c r="E372" s="6" t="inlineStr">
        <is>
          <t>SIGNATURE</t>
        </is>
      </c>
      <c r="F372" s="6" t="inlineStr">
        <is>
          <t>BALADES NORMANDES</t>
        </is>
      </c>
      <c r="G372" s="6" t="inlineStr">
        <is>
          <t>NORMAND DIRECT TERROIR</t>
        </is>
      </c>
      <c r="H372" s="6" t="inlineStr">
        <is>
          <t>Boîte bois ronde</t>
        </is>
      </c>
      <c r="I372" s="6" t="inlineStr">
        <is>
          <t>150 g</t>
        </is>
      </c>
      <c r="J372" s="6" t="inlineStr">
        <is>
          <t>NON</t>
        </is>
      </c>
      <c r="K372" s="7" t="inlineStr">
        <is>
          <t>20 %</t>
        </is>
      </c>
      <c r="L372" s="8" t="n">
        <v>5.11</v>
      </c>
      <c r="M372" s="9" t="n">
        <v>12.3</v>
      </c>
      <c r="N372" s="10" t="inlineStr">
        <is>
          <t>PROPOSÉ</t>
        </is>
      </c>
      <c r="O372" s="11">
        <f>IF(M372="","",M372-L372)</f>
        <v/>
      </c>
      <c r="P372" s="12">
        <f>IF(OR(M372="",M372=0),"",(M372-L372)/M372)</f>
        <v/>
      </c>
      <c r="Q372" s="13">
        <f>IF(OR(M372="",L372=0,L372=""),"",M372/L372)</f>
        <v/>
      </c>
      <c r="R372" s="11">
        <f>IF(M372="","",M372*1.2)</f>
        <v/>
      </c>
      <c r="S372" s="14" t="n"/>
      <c r="T372" s="15" t="n"/>
    </row>
    <row r="373">
      <c r="A373" s="16" t="inlineStr">
        <is>
          <t>PROD-0291</t>
        </is>
      </c>
      <c r="B373" s="16" t="inlineStr">
        <is>
          <t>Caramels d'Isigny beurre salé 150 g  D-DAY drapeau</t>
        </is>
      </c>
      <c r="C373" s="16" t="inlineStr">
        <is>
          <t>CONFISERIE</t>
        </is>
      </c>
      <c r="D373" s="16" t="inlineStr">
        <is>
          <t>CARAMEL</t>
        </is>
      </c>
      <c r="E373" s="16" t="inlineStr">
        <is>
          <t>SIGNATURE</t>
        </is>
      </c>
      <c r="F373" s="16" t="inlineStr">
        <is>
          <t>BALADES NORMANDES</t>
        </is>
      </c>
      <c r="G373" s="16" t="inlineStr">
        <is>
          <t>NORMAND DIRECT TERROIR</t>
        </is>
      </c>
      <c r="H373" s="16" t="inlineStr">
        <is>
          <t>D-DAY Boîte bois</t>
        </is>
      </c>
      <c r="I373" s="16" t="inlineStr">
        <is>
          <t>150 g</t>
        </is>
      </c>
      <c r="J373" s="16" t="inlineStr">
        <is>
          <t>NON</t>
        </is>
      </c>
      <c r="K373" s="17" t="inlineStr">
        <is>
          <t>20 %</t>
        </is>
      </c>
      <c r="L373" s="18" t="n">
        <v>5.11</v>
      </c>
      <c r="M373" s="9" t="n">
        <v>12.3</v>
      </c>
      <c r="N373" s="10" t="inlineStr">
        <is>
          <t>PROPOSÉ</t>
        </is>
      </c>
      <c r="O373" s="11">
        <f>IF(M373="","",M373-L373)</f>
        <v/>
      </c>
      <c r="P373" s="12">
        <f>IF(OR(M373="",M373=0),"",(M373-L373)/M373)</f>
        <v/>
      </c>
      <c r="Q373" s="13">
        <f>IF(OR(M373="",L373=0,L373=""),"",M373/L373)</f>
        <v/>
      </c>
      <c r="R373" s="11">
        <f>IF(M373="","",M373*1.2)</f>
        <v/>
      </c>
      <c r="S373" s="14" t="n"/>
      <c r="T373" s="15" t="n"/>
    </row>
    <row r="374">
      <c r="A374" s="6" t="inlineStr">
        <is>
          <t>PROD-0557</t>
        </is>
      </c>
      <c r="B374" s="6" t="inlineStr">
        <is>
          <t>BOÎTE FER "NOËL"</t>
        </is>
      </c>
      <c r="C374" s="6" t="inlineStr">
        <is>
          <t>CONFISERIE</t>
        </is>
      </c>
      <c r="D374" s="6" t="inlineStr">
        <is>
          <t>CARAMEL</t>
        </is>
      </c>
      <c r="E374" s="6" t="inlineStr">
        <is>
          <t>SIGNATURE</t>
        </is>
      </c>
      <c r="F374" s="6" t="inlineStr">
        <is>
          <t>CARAMELS D'ISIGNY</t>
        </is>
      </c>
      <c r="G374" s="6" t="inlineStr">
        <is>
          <t>CARAMELS D'ISIGNY</t>
        </is>
      </c>
      <c r="H374" s="6" t="inlineStr">
        <is>
          <t>100G</t>
        </is>
      </c>
      <c r="I374" s="6" t="inlineStr">
        <is>
          <t>100 g</t>
        </is>
      </c>
      <c r="J374" s="6" t="inlineStr">
        <is>
          <t>NON</t>
        </is>
      </c>
      <c r="K374" s="7" t="inlineStr">
        <is>
          <t>20 %</t>
        </is>
      </c>
      <c r="L374" s="8" t="n">
        <v>5.1</v>
      </c>
      <c r="M374" s="9" t="n">
        <v>12.2</v>
      </c>
      <c r="N374" s="10" t="inlineStr">
        <is>
          <t>PROPOSÉ</t>
        </is>
      </c>
      <c r="O374" s="11">
        <f>IF(M374="","",M374-L374)</f>
        <v/>
      </c>
      <c r="P374" s="12">
        <f>IF(OR(M374="",M374=0),"",(M374-L374)/M374)</f>
        <v/>
      </c>
      <c r="Q374" s="13">
        <f>IF(OR(M374="",L374=0,L374=""),"",M374/L374)</f>
        <v/>
      </c>
      <c r="R374" s="11">
        <f>IF(M374="","",M374*1.2)</f>
        <v/>
      </c>
      <c r="S374" s="14" t="n"/>
      <c r="T374" s="15" t="n"/>
    </row>
    <row r="375">
      <c r="A375" s="16" t="inlineStr">
        <is>
          <t>PROD-0580</t>
        </is>
      </c>
      <c r="B375" s="16" t="inlineStr">
        <is>
          <t>BOÎTE BOUCHÉES CARAMEL FONDANT BEURRE SALÉ</t>
        </is>
      </c>
      <c r="C375" s="16" t="inlineStr">
        <is>
          <t>CONFISERIE</t>
        </is>
      </c>
      <c r="D375" s="16" t="inlineStr">
        <is>
          <t>CARAMEL_VRAC</t>
        </is>
      </c>
      <c r="E375" s="16" t="inlineStr">
        <is>
          <t>PREMIUM</t>
        </is>
      </c>
      <c r="F375" s="16" t="inlineStr">
        <is>
          <t>CARAMELS D'ISIGNY</t>
        </is>
      </c>
      <c r="G375" s="16" t="inlineStr">
        <is>
          <t>CARAMELS D'ISIGNY</t>
        </is>
      </c>
      <c r="H375" s="16" t="inlineStr">
        <is>
          <t>1,44KG</t>
        </is>
      </c>
      <c r="I375" s="16" t="inlineStr">
        <is>
          <t>1440 g</t>
        </is>
      </c>
      <c r="J375" s="16" t="inlineStr">
        <is>
          <t>NON</t>
        </is>
      </c>
      <c r="K375" s="17" t="inlineStr">
        <is>
          <t>20 %</t>
        </is>
      </c>
      <c r="L375" s="18" t="n">
        <v>61.4</v>
      </c>
      <c r="M375" s="9" t="n">
        <v>83.5</v>
      </c>
      <c r="N375" s="10" t="inlineStr">
        <is>
          <t>PROPOSÉ</t>
        </is>
      </c>
      <c r="O375" s="11">
        <f>IF(M375="","",M375-L375)</f>
        <v/>
      </c>
      <c r="P375" s="12">
        <f>IF(OR(M375="",M375=0),"",(M375-L375)/M375)</f>
        <v/>
      </c>
      <c r="Q375" s="13">
        <f>IF(OR(M375="",L375=0,L375=""),"",M375/L375)</f>
        <v/>
      </c>
      <c r="R375" s="11">
        <f>IF(M375="","",M375*1.2)</f>
        <v/>
      </c>
      <c r="S375" s="14" t="n"/>
      <c r="T375" s="15" t="n"/>
    </row>
    <row r="376">
      <c r="A376" s="6" t="inlineStr">
        <is>
          <t>PROD-0503</t>
        </is>
      </c>
      <c r="B376" s="6" t="inlineStr">
        <is>
          <t>Billes chocolatées Vrac</t>
        </is>
      </c>
      <c r="C376" s="6" t="inlineStr">
        <is>
          <t>CONFISERIE</t>
        </is>
      </c>
      <c r="D376" s="6" t="inlineStr">
        <is>
          <t>BONBON_ET_CONFISERIE</t>
        </is>
      </c>
      <c r="E376" s="6" t="inlineStr">
        <is>
          <t>PREMIUM</t>
        </is>
      </c>
      <c r="F376" s="6" t="inlineStr">
        <is>
          <t>CROCAEN'T</t>
        </is>
      </c>
      <c r="G376" s="6" t="inlineStr">
        <is>
          <t>NORMAND DIRECT TERROIR</t>
        </is>
      </c>
      <c r="H376" s="6" t="inlineStr">
        <is>
          <t>billes chocolatées</t>
        </is>
      </c>
      <c r="I376" s="6" t="inlineStr"/>
      <c r="J376" s="6" t="inlineStr">
        <is>
          <t>NON</t>
        </is>
      </c>
      <c r="K376" s="7" t="inlineStr">
        <is>
          <t>5.5 %</t>
        </is>
      </c>
      <c r="L376" s="8" t="n">
        <v>48</v>
      </c>
      <c r="M376" s="9" t="n">
        <v>92</v>
      </c>
      <c r="N376" s="10" t="inlineStr">
        <is>
          <t>PROPOSÉ</t>
        </is>
      </c>
      <c r="O376" s="11">
        <f>IF(M376="","",M376-L376)</f>
        <v/>
      </c>
      <c r="P376" s="12">
        <f>IF(OR(M376="",M376=0),"",(M376-L376)/M376)</f>
        <v/>
      </c>
      <c r="Q376" s="13">
        <f>IF(OR(M376="",L376=0,L376=""),"",M376/L376)</f>
        <v/>
      </c>
      <c r="R376" s="11">
        <f>IF(M376="","",M376*1.055)</f>
        <v/>
      </c>
      <c r="S376" s="14" t="n"/>
      <c r="T376" s="15" t="n"/>
    </row>
    <row r="377">
      <c r="A377" s="16" t="inlineStr">
        <is>
          <t>PROD-0470</t>
        </is>
      </c>
      <c r="B377" s="16" t="inlineStr">
        <is>
          <t>Bouchées Nougat tendre emballage individuel EN VRAC</t>
        </is>
      </c>
      <c r="C377" s="16" t="inlineStr">
        <is>
          <t>CONFISERIE</t>
        </is>
      </c>
      <c r="D377" s="16" t="inlineStr">
        <is>
          <t>BONBON_ET_CONFISERIE</t>
        </is>
      </c>
      <c r="E377" s="16" t="inlineStr">
        <is>
          <t>PREMIUM</t>
        </is>
      </c>
      <c r="F377" s="16" t="inlineStr">
        <is>
          <t>Rucher du bocage Virois</t>
        </is>
      </c>
      <c r="G377" s="16" t="inlineStr">
        <is>
          <t>NORMAND DIRECT TERROIR</t>
        </is>
      </c>
      <c r="H377" s="16" t="inlineStr"/>
      <c r="I377" s="16" t="inlineStr"/>
      <c r="J377" s="16" t="inlineStr">
        <is>
          <t>NON</t>
        </is>
      </c>
      <c r="K377" s="17" t="inlineStr">
        <is>
          <t>20 %</t>
        </is>
      </c>
      <c r="L377" s="18" t="n">
        <v>45.5</v>
      </c>
      <c r="M377" s="9" t="n">
        <v>87.5</v>
      </c>
      <c r="N377" s="10" t="inlineStr">
        <is>
          <t>PROPOSÉ</t>
        </is>
      </c>
      <c r="O377" s="11">
        <f>IF(M377="","",M377-L377)</f>
        <v/>
      </c>
      <c r="P377" s="12">
        <f>IF(OR(M377="",M377=0),"",(M377-L377)/M377)</f>
        <v/>
      </c>
      <c r="Q377" s="13">
        <f>IF(OR(M377="",L377=0,L377=""),"",M377/L377)</f>
        <v/>
      </c>
      <c r="R377" s="11">
        <f>IF(M377="","",M377*1.2)</f>
        <v/>
      </c>
      <c r="S377" s="14" t="n"/>
      <c r="T377" s="15" t="n"/>
    </row>
    <row r="378">
      <c r="A378" s="6" t="inlineStr">
        <is>
          <t>PROD-0572</t>
        </is>
      </c>
      <c r="B378" s="6" t="inlineStr">
        <is>
          <t>BOÎTE 2KG BEURRE SALÉ D’ISIGNY AOP</t>
        </is>
      </c>
      <c r="C378" s="6" t="inlineStr">
        <is>
          <t>CONFISERIE</t>
        </is>
      </c>
      <c r="D378" s="6" t="inlineStr">
        <is>
          <t>CARAMEL_VRAC</t>
        </is>
      </c>
      <c r="E378" s="6" t="inlineStr">
        <is>
          <t>PREMIUM</t>
        </is>
      </c>
      <c r="F378" s="6" t="inlineStr">
        <is>
          <t>CARAMELS D'ISIGNY</t>
        </is>
      </c>
      <c r="G378" s="6" t="inlineStr">
        <is>
          <t>CARAMELS D'ISIGNY</t>
        </is>
      </c>
      <c r="H378" s="6" t="inlineStr">
        <is>
          <t>2KG</t>
        </is>
      </c>
      <c r="I378" s="6" t="inlineStr">
        <is>
          <t>2000 g</t>
        </is>
      </c>
      <c r="J378" s="6" t="inlineStr">
        <is>
          <t>NON</t>
        </is>
      </c>
      <c r="K378" s="7" t="inlineStr">
        <is>
          <t>20 %</t>
        </is>
      </c>
      <c r="L378" s="8" t="n">
        <v>32.2</v>
      </c>
      <c r="M378" s="9" t="n">
        <v>46.5</v>
      </c>
      <c r="N378" s="10" t="inlineStr">
        <is>
          <t>PROPOSÉ</t>
        </is>
      </c>
      <c r="O378" s="11">
        <f>IF(M378="","",M378-L378)</f>
        <v/>
      </c>
      <c r="P378" s="12">
        <f>IF(OR(M378="",M378=0),"",(M378-L378)/M378)</f>
        <v/>
      </c>
      <c r="Q378" s="13">
        <f>IF(OR(M378="",L378=0,L378=""),"",M378/L378)</f>
        <v/>
      </c>
      <c r="R378" s="11">
        <f>IF(M378="","",M378*1.2)</f>
        <v/>
      </c>
      <c r="S378" s="14" t="n"/>
      <c r="T378" s="15" t="n"/>
    </row>
    <row r="379">
      <c r="A379" s="16" t="inlineStr">
        <is>
          <t>PROD-0573</t>
        </is>
      </c>
      <c r="B379" s="16" t="inlineStr">
        <is>
          <t>BOÎTE 2KG NOISETTE</t>
        </is>
      </c>
      <c r="C379" s="16" t="inlineStr">
        <is>
          <t>CONFISERIE</t>
        </is>
      </c>
      <c r="D379" s="16" t="inlineStr">
        <is>
          <t>CARAMEL_VRAC</t>
        </is>
      </c>
      <c r="E379" s="16" t="inlineStr">
        <is>
          <t>PREMIUM</t>
        </is>
      </c>
      <c r="F379" s="16" t="inlineStr">
        <is>
          <t>CARAMELS D'ISIGNY</t>
        </is>
      </c>
      <c r="G379" s="16" t="inlineStr">
        <is>
          <t>CARAMELS D'ISIGNY</t>
        </is>
      </c>
      <c r="H379" s="16" t="inlineStr">
        <is>
          <t>2KG</t>
        </is>
      </c>
      <c r="I379" s="16" t="inlineStr">
        <is>
          <t>2000 g</t>
        </is>
      </c>
      <c r="J379" s="16" t="inlineStr">
        <is>
          <t>NON</t>
        </is>
      </c>
      <c r="K379" s="17" t="inlineStr">
        <is>
          <t>20 %</t>
        </is>
      </c>
      <c r="L379" s="18" t="n">
        <v>32.2</v>
      </c>
      <c r="M379" s="9" t="n">
        <v>46.5</v>
      </c>
      <c r="N379" s="10" t="inlineStr">
        <is>
          <t>PROPOSÉ</t>
        </is>
      </c>
      <c r="O379" s="11">
        <f>IF(M379="","",M379-L379)</f>
        <v/>
      </c>
      <c r="P379" s="12">
        <f>IF(OR(M379="",M379=0),"",(M379-L379)/M379)</f>
        <v/>
      </c>
      <c r="Q379" s="13">
        <f>IF(OR(M379="",L379=0,L379=""),"",M379/L379)</f>
        <v/>
      </c>
      <c r="R379" s="11">
        <f>IF(M379="","",M379*1.2)</f>
        <v/>
      </c>
      <c r="S379" s="14" t="n"/>
      <c r="T379" s="15" t="n"/>
    </row>
    <row r="380">
      <c r="A380" s="6" t="inlineStr">
        <is>
          <t>PROD-0574</t>
        </is>
      </c>
      <c r="B380" s="6" t="inlineStr">
        <is>
          <t>BOÎTE 2KG VANILLE</t>
        </is>
      </c>
      <c r="C380" s="6" t="inlineStr">
        <is>
          <t>CONFISERIE</t>
        </is>
      </c>
      <c r="D380" s="6" t="inlineStr">
        <is>
          <t>CARAMEL_VRAC</t>
        </is>
      </c>
      <c r="E380" s="6" t="inlineStr">
        <is>
          <t>PREMIUM</t>
        </is>
      </c>
      <c r="F380" s="6" t="inlineStr">
        <is>
          <t>CARAMELS D'ISIGNY</t>
        </is>
      </c>
      <c r="G380" s="6" t="inlineStr">
        <is>
          <t>CARAMELS D'ISIGNY</t>
        </is>
      </c>
      <c r="H380" s="6" t="inlineStr">
        <is>
          <t>2KG</t>
        </is>
      </c>
      <c r="I380" s="6" t="inlineStr">
        <is>
          <t>2000 g</t>
        </is>
      </c>
      <c r="J380" s="6" t="inlineStr">
        <is>
          <t>NON</t>
        </is>
      </c>
      <c r="K380" s="7" t="inlineStr">
        <is>
          <t>20 %</t>
        </is>
      </c>
      <c r="L380" s="8" t="n">
        <v>32.2</v>
      </c>
      <c r="M380" s="9" t="n">
        <v>46.5</v>
      </c>
      <c r="N380" s="10" t="inlineStr">
        <is>
          <t>PROPOSÉ</t>
        </is>
      </c>
      <c r="O380" s="11">
        <f>IF(M380="","",M380-L380)</f>
        <v/>
      </c>
      <c r="P380" s="12">
        <f>IF(OR(M380="",M380=0),"",(M380-L380)/M380)</f>
        <v/>
      </c>
      <c r="Q380" s="13">
        <f>IF(OR(M380="",L380=0,L380=""),"",M380/L380)</f>
        <v/>
      </c>
      <c r="R380" s="11">
        <f>IF(M380="","",M380*1.2)</f>
        <v/>
      </c>
      <c r="S380" s="14" t="n"/>
      <c r="T380" s="15" t="n"/>
    </row>
    <row r="381">
      <c r="A381" s="16" t="inlineStr">
        <is>
          <t>PROD-0575</t>
        </is>
      </c>
      <c r="B381" s="16" t="inlineStr">
        <is>
          <t>BOÎTE 2KG VANILLE MARBRÉ CHOCOLAT</t>
        </is>
      </c>
      <c r="C381" s="16" t="inlineStr">
        <is>
          <t>CONFISERIE</t>
        </is>
      </c>
      <c r="D381" s="16" t="inlineStr">
        <is>
          <t>CARAMEL_VRAC</t>
        </is>
      </c>
      <c r="E381" s="16" t="inlineStr">
        <is>
          <t>PREMIUM</t>
        </is>
      </c>
      <c r="F381" s="16" t="inlineStr">
        <is>
          <t>CARAMELS D'ISIGNY</t>
        </is>
      </c>
      <c r="G381" s="16" t="inlineStr">
        <is>
          <t>CARAMELS D'ISIGNY</t>
        </is>
      </c>
      <c r="H381" s="16" t="inlineStr">
        <is>
          <t>2KG</t>
        </is>
      </c>
      <c r="I381" s="16" t="inlineStr">
        <is>
          <t>2000 g</t>
        </is>
      </c>
      <c r="J381" s="16" t="inlineStr">
        <is>
          <t>NON</t>
        </is>
      </c>
      <c r="K381" s="17" t="inlineStr">
        <is>
          <t>20 %</t>
        </is>
      </c>
      <c r="L381" s="18" t="n">
        <v>32.2</v>
      </c>
      <c r="M381" s="9" t="n">
        <v>46.5</v>
      </c>
      <c r="N381" s="10" t="inlineStr">
        <is>
          <t>PROPOSÉ</t>
        </is>
      </c>
      <c r="O381" s="11">
        <f>IF(M381="","",M381-L381)</f>
        <v/>
      </c>
      <c r="P381" s="12">
        <f>IF(OR(M381="",M381=0),"",(M381-L381)/M381)</f>
        <v/>
      </c>
      <c r="Q381" s="13">
        <f>IF(OR(M381="",L381=0,L381=""),"",M381/L381)</f>
        <v/>
      </c>
      <c r="R381" s="11">
        <f>IF(M381="","",M381*1.2)</f>
        <v/>
      </c>
      <c r="S381" s="14" t="n"/>
      <c r="T381" s="15" t="n"/>
    </row>
    <row r="382">
      <c r="A382" s="6" t="inlineStr">
        <is>
          <t>PROD-0598</t>
        </is>
      </c>
      <c r="B382" s="6" t="inlineStr">
        <is>
          <t>BOÎTE 2KG CRÈME D’ISIGNY AOP</t>
        </is>
      </c>
      <c r="C382" s="6" t="inlineStr">
        <is>
          <t>CONFISERIE</t>
        </is>
      </c>
      <c r="D382" s="6" t="inlineStr">
        <is>
          <t>CARAMEL_VRAC</t>
        </is>
      </c>
      <c r="E382" s="6" t="inlineStr">
        <is>
          <t>PREMIUM</t>
        </is>
      </c>
      <c r="F382" s="6" t="inlineStr">
        <is>
          <t>CARAMELS D'ISIGNY</t>
        </is>
      </c>
      <c r="G382" s="6" t="inlineStr">
        <is>
          <t>CARAMELS D'ISIGNY</t>
        </is>
      </c>
      <c r="H382" s="6" t="inlineStr">
        <is>
          <t>2KG</t>
        </is>
      </c>
      <c r="I382" s="6" t="inlineStr">
        <is>
          <t>2000 g</t>
        </is>
      </c>
      <c r="J382" s="6" t="inlineStr">
        <is>
          <t>NON</t>
        </is>
      </c>
      <c r="K382" s="7" t="inlineStr">
        <is>
          <t>20 %</t>
        </is>
      </c>
      <c r="L382" s="8" t="n">
        <v>32.2</v>
      </c>
      <c r="M382" s="9" t="n">
        <v>46.5</v>
      </c>
      <c r="N382" s="10" t="inlineStr">
        <is>
          <t>PROPOSÉ</t>
        </is>
      </c>
      <c r="O382" s="11">
        <f>IF(M382="","",M382-L382)</f>
        <v/>
      </c>
      <c r="P382" s="12">
        <f>IF(OR(M382="",M382=0),"",(M382-L382)/M382)</f>
        <v/>
      </c>
      <c r="Q382" s="13">
        <f>IF(OR(M382="",L382=0,L382=""),"",M382/L382)</f>
        <v/>
      </c>
      <c r="R382" s="11">
        <f>IF(M382="","",M382*1.2)</f>
        <v/>
      </c>
      <c r="S382" s="14" t="n"/>
      <c r="T382" s="15" t="n"/>
    </row>
    <row r="383">
      <c r="A383" s="16" t="inlineStr">
        <is>
          <t>PROD-0599</t>
        </is>
      </c>
      <c r="B383" s="16" t="inlineStr">
        <is>
          <t>BOÎTE 2KG BEURRE SALÉ D’ISIGNY AOP</t>
        </is>
      </c>
      <c r="C383" s="16" t="inlineStr">
        <is>
          <t>CONFISERIE</t>
        </is>
      </c>
      <c r="D383" s="16" t="inlineStr">
        <is>
          <t>CARAMEL_VRAC</t>
        </is>
      </c>
      <c r="E383" s="16" t="inlineStr">
        <is>
          <t>PREMIUM</t>
        </is>
      </c>
      <c r="F383" s="16" t="inlineStr">
        <is>
          <t>CARAMELS D'ISIGNY</t>
        </is>
      </c>
      <c r="G383" s="16" t="inlineStr">
        <is>
          <t>CARAMELS D'ISIGNY</t>
        </is>
      </c>
      <c r="H383" s="16" t="inlineStr">
        <is>
          <t>2KG</t>
        </is>
      </c>
      <c r="I383" s="16" t="inlineStr">
        <is>
          <t>2000 g</t>
        </is>
      </c>
      <c r="J383" s="16" t="inlineStr">
        <is>
          <t>NON</t>
        </is>
      </c>
      <c r="K383" s="17" t="inlineStr">
        <is>
          <t>20 %</t>
        </is>
      </c>
      <c r="L383" s="18" t="n">
        <v>32.2</v>
      </c>
      <c r="M383" s="9" t="n">
        <v>46.5</v>
      </c>
      <c r="N383" s="10" t="inlineStr">
        <is>
          <t>PROPOSÉ</t>
        </is>
      </c>
      <c r="O383" s="11">
        <f>IF(M383="","",M383-L383)</f>
        <v/>
      </c>
      <c r="P383" s="12">
        <f>IF(OR(M383="",M383=0),"",(M383-L383)/M383)</f>
        <v/>
      </c>
      <c r="Q383" s="13">
        <f>IF(OR(M383="",L383=0,L383=""),"",M383/L383)</f>
        <v/>
      </c>
      <c r="R383" s="11">
        <f>IF(M383="","",M383*1.2)</f>
        <v/>
      </c>
      <c r="S383" s="14" t="n"/>
      <c r="T383" s="15" t="n"/>
    </row>
    <row r="384">
      <c r="A384" s="6" t="inlineStr">
        <is>
          <t>PROD-0600</t>
        </is>
      </c>
      <c r="B384" s="6" t="inlineStr">
        <is>
          <t>BOÎTE 2KG BEURRE DOUX D’ISIGNY AOP</t>
        </is>
      </c>
      <c r="C384" s="6" t="inlineStr">
        <is>
          <t>CONFISERIE</t>
        </is>
      </c>
      <c r="D384" s="6" t="inlineStr">
        <is>
          <t>CARAMEL_VRAC</t>
        </is>
      </c>
      <c r="E384" s="6" t="inlineStr">
        <is>
          <t>PREMIUM</t>
        </is>
      </c>
      <c r="F384" s="6" t="inlineStr">
        <is>
          <t>CARAMELS D'ISIGNY</t>
        </is>
      </c>
      <c r="G384" s="6" t="inlineStr">
        <is>
          <t>CARAMELS D'ISIGNY</t>
        </is>
      </c>
      <c r="H384" s="6" t="inlineStr">
        <is>
          <t>2KG</t>
        </is>
      </c>
      <c r="I384" s="6" t="inlineStr">
        <is>
          <t>2000 g</t>
        </is>
      </c>
      <c r="J384" s="6" t="inlineStr">
        <is>
          <t>NON</t>
        </is>
      </c>
      <c r="K384" s="7" t="inlineStr">
        <is>
          <t>20 %</t>
        </is>
      </c>
      <c r="L384" s="8" t="n">
        <v>32.2</v>
      </c>
      <c r="M384" s="9" t="n">
        <v>46.5</v>
      </c>
      <c r="N384" s="10" t="inlineStr">
        <is>
          <t>PROPOSÉ</t>
        </is>
      </c>
      <c r="O384" s="11">
        <f>IF(M384="","",M384-L384)</f>
        <v/>
      </c>
      <c r="P384" s="12">
        <f>IF(OR(M384="",M384=0),"",(M384-L384)/M384)</f>
        <v/>
      </c>
      <c r="Q384" s="13">
        <f>IF(OR(M384="",L384=0,L384=""),"",M384/L384)</f>
        <v/>
      </c>
      <c r="R384" s="11">
        <f>IF(M384="","",M384*1.2)</f>
        <v/>
      </c>
      <c r="S384" s="14" t="n"/>
      <c r="T384" s="15" t="n"/>
    </row>
    <row r="385">
      <c r="A385" s="16" t="inlineStr">
        <is>
          <t>PROD-0601</t>
        </is>
      </c>
      <c r="B385" s="16" t="inlineStr">
        <is>
          <t>BOÎTE 2KG CALVADOS</t>
        </is>
      </c>
      <c r="C385" s="16" t="inlineStr">
        <is>
          <t>CONFISERIE</t>
        </is>
      </c>
      <c r="D385" s="16" t="inlineStr">
        <is>
          <t>CARAMEL_VRAC</t>
        </is>
      </c>
      <c r="E385" s="16" t="inlineStr">
        <is>
          <t>PREMIUM</t>
        </is>
      </c>
      <c r="F385" s="16" t="inlineStr">
        <is>
          <t>CARAMELS D'ISIGNY</t>
        </is>
      </c>
      <c r="G385" s="16" t="inlineStr">
        <is>
          <t>CARAMELS D'ISIGNY</t>
        </is>
      </c>
      <c r="H385" s="16" t="inlineStr">
        <is>
          <t>2KG</t>
        </is>
      </c>
      <c r="I385" s="16" t="inlineStr">
        <is>
          <t>2000 g</t>
        </is>
      </c>
      <c r="J385" s="16" t="inlineStr">
        <is>
          <t>INGREDIENT_ALCOOLISE</t>
        </is>
      </c>
      <c r="K385" s="17" t="inlineStr">
        <is>
          <t>20 %</t>
        </is>
      </c>
      <c r="L385" s="18" t="n">
        <v>32.2</v>
      </c>
      <c r="M385" s="9" t="n">
        <v>46.5</v>
      </c>
      <c r="N385" s="10" t="inlineStr">
        <is>
          <t>PROPOSÉ</t>
        </is>
      </c>
      <c r="O385" s="11">
        <f>IF(M385="","",M385-L385)</f>
        <v/>
      </c>
      <c r="P385" s="12">
        <f>IF(OR(M385="",M385=0),"",(M385-L385)/M385)</f>
        <v/>
      </c>
      <c r="Q385" s="13">
        <f>IF(OR(M385="",L385=0,L385=""),"",M385/L385)</f>
        <v/>
      </c>
      <c r="R385" s="11">
        <f>IF(M385="","",M385*1.2)</f>
        <v/>
      </c>
      <c r="S385" s="14" t="n"/>
      <c r="T385" s="15" t="n"/>
    </row>
    <row r="386">
      <c r="A386" s="6" t="inlineStr">
        <is>
          <t>PROD-0602</t>
        </is>
      </c>
      <c r="B386" s="6" t="inlineStr">
        <is>
          <t>BOÎTE 2KG GOÛT TATIN</t>
        </is>
      </c>
      <c r="C386" s="6" t="inlineStr">
        <is>
          <t>CONFISERIE</t>
        </is>
      </c>
      <c r="D386" s="6" t="inlineStr">
        <is>
          <t>CARAMEL_VRAC</t>
        </is>
      </c>
      <c r="E386" s="6" t="inlineStr">
        <is>
          <t>PREMIUM</t>
        </is>
      </c>
      <c r="F386" s="6" t="inlineStr">
        <is>
          <t>CARAMELS D'ISIGNY</t>
        </is>
      </c>
      <c r="G386" s="6" t="inlineStr">
        <is>
          <t>CARAMELS D'ISIGNY</t>
        </is>
      </c>
      <c r="H386" s="6" t="inlineStr">
        <is>
          <t>2KG</t>
        </is>
      </c>
      <c r="I386" s="6" t="inlineStr">
        <is>
          <t>2000 g</t>
        </is>
      </c>
      <c r="J386" s="6" t="inlineStr">
        <is>
          <t>NON</t>
        </is>
      </c>
      <c r="K386" s="7" t="inlineStr">
        <is>
          <t>20 %</t>
        </is>
      </c>
      <c r="L386" s="8" t="n">
        <v>32.2</v>
      </c>
      <c r="M386" s="9" t="n">
        <v>46.5</v>
      </c>
      <c r="N386" s="10" t="inlineStr">
        <is>
          <t>PROPOSÉ</t>
        </is>
      </c>
      <c r="O386" s="11">
        <f>IF(M386="","",M386-L386)</f>
        <v/>
      </c>
      <c r="P386" s="12">
        <f>IF(OR(M386="",M386=0),"",(M386-L386)/M386)</f>
        <v/>
      </c>
      <c r="Q386" s="13">
        <f>IF(OR(M386="",L386=0,L386=""),"",M386/L386)</f>
        <v/>
      </c>
      <c r="R386" s="11">
        <f>IF(M386="","",M386*1.2)</f>
        <v/>
      </c>
      <c r="S386" s="14" t="n"/>
      <c r="T386" s="15" t="n"/>
    </row>
    <row r="387">
      <c r="A387" s="16" t="inlineStr">
        <is>
          <t>PROD-0603</t>
        </is>
      </c>
      <c r="B387" s="16" t="inlineStr">
        <is>
          <t>BOÎTE 2KG POMME</t>
        </is>
      </c>
      <c r="C387" s="16" t="inlineStr">
        <is>
          <t>CONFISERIE</t>
        </is>
      </c>
      <c r="D387" s="16" t="inlineStr">
        <is>
          <t>CARAMEL_VRAC</t>
        </is>
      </c>
      <c r="E387" s="16" t="inlineStr">
        <is>
          <t>PREMIUM</t>
        </is>
      </c>
      <c r="F387" s="16" t="inlineStr">
        <is>
          <t>CARAMELS D'ISIGNY</t>
        </is>
      </c>
      <c r="G387" s="16" t="inlineStr">
        <is>
          <t>CARAMELS D'ISIGNY</t>
        </is>
      </c>
      <c r="H387" s="16" t="inlineStr">
        <is>
          <t>2KG</t>
        </is>
      </c>
      <c r="I387" s="16" t="inlineStr">
        <is>
          <t>2000 g</t>
        </is>
      </c>
      <c r="J387" s="16" t="inlineStr">
        <is>
          <t>NON</t>
        </is>
      </c>
      <c r="K387" s="17" t="inlineStr">
        <is>
          <t>20 %</t>
        </is>
      </c>
      <c r="L387" s="18" t="n">
        <v>32.2</v>
      </c>
      <c r="M387" s="9" t="n">
        <v>46.5</v>
      </c>
      <c r="N387" s="10" t="inlineStr">
        <is>
          <t>PROPOSÉ</t>
        </is>
      </c>
      <c r="O387" s="11">
        <f>IF(M387="","",M387-L387)</f>
        <v/>
      </c>
      <c r="P387" s="12">
        <f>IF(OR(M387="",M387=0),"",(M387-L387)/M387)</f>
        <v/>
      </c>
      <c r="Q387" s="13">
        <f>IF(OR(M387="",L387=0,L387=""),"",M387/L387)</f>
        <v/>
      </c>
      <c r="R387" s="11">
        <f>IF(M387="","",M387*1.2)</f>
        <v/>
      </c>
      <c r="S387" s="14" t="n"/>
      <c r="T387" s="15" t="n"/>
    </row>
    <row r="388">
      <c r="A388" s="6" t="inlineStr">
        <is>
          <t>PROD-0604</t>
        </is>
      </c>
      <c r="B388" s="6" t="inlineStr">
        <is>
          <t>BOÎTE 2KG GOÛT CONFITURE DE LAIT</t>
        </is>
      </c>
      <c r="C388" s="6" t="inlineStr">
        <is>
          <t>CONFISERIE</t>
        </is>
      </c>
      <c r="D388" s="6" t="inlineStr">
        <is>
          <t>CARAMEL_VRAC</t>
        </is>
      </c>
      <c r="E388" s="6" t="inlineStr">
        <is>
          <t>PREMIUM</t>
        </is>
      </c>
      <c r="F388" s="6" t="inlineStr">
        <is>
          <t>CARAMELS D'ISIGNY</t>
        </is>
      </c>
      <c r="G388" s="6" t="inlineStr">
        <is>
          <t>CARAMELS D'ISIGNY</t>
        </is>
      </c>
      <c r="H388" s="6" t="inlineStr">
        <is>
          <t>2KG</t>
        </is>
      </c>
      <c r="I388" s="6" t="inlineStr">
        <is>
          <t>2000 g</t>
        </is>
      </c>
      <c r="J388" s="6" t="inlineStr">
        <is>
          <t>NON</t>
        </is>
      </c>
      <c r="K388" s="7" t="inlineStr">
        <is>
          <t>20 %</t>
        </is>
      </c>
      <c r="L388" s="8" t="n">
        <v>32.2</v>
      </c>
      <c r="M388" s="9" t="n">
        <v>46.5</v>
      </c>
      <c r="N388" s="10" t="inlineStr">
        <is>
          <t>PROPOSÉ</t>
        </is>
      </c>
      <c r="O388" s="11">
        <f>IF(M388="","",M388-L388)</f>
        <v/>
      </c>
      <c r="P388" s="12">
        <f>IF(OR(M388="",M388=0),"",(M388-L388)/M388)</f>
        <v/>
      </c>
      <c r="Q388" s="13">
        <f>IF(OR(M388="",L388=0,L388=""),"",M388/L388)</f>
        <v/>
      </c>
      <c r="R388" s="11">
        <f>IF(M388="","",M388*1.2)</f>
        <v/>
      </c>
      <c r="S388" s="14" t="n"/>
      <c r="T388" s="15" t="n"/>
    </row>
    <row r="389">
      <c r="A389" s="16" t="inlineStr">
        <is>
          <t>PROD-0605</t>
        </is>
      </c>
      <c r="B389" s="16" t="inlineStr">
        <is>
          <t>BOÎTE 2KG MENTHE</t>
        </is>
      </c>
      <c r="C389" s="16" t="inlineStr">
        <is>
          <t>CONFISERIE</t>
        </is>
      </c>
      <c r="D389" s="16" t="inlineStr">
        <is>
          <t>CARAMEL_VRAC</t>
        </is>
      </c>
      <c r="E389" s="16" t="inlineStr">
        <is>
          <t>PREMIUM</t>
        </is>
      </c>
      <c r="F389" s="16" t="inlineStr">
        <is>
          <t>CARAMELS D'ISIGNY</t>
        </is>
      </c>
      <c r="G389" s="16" t="inlineStr">
        <is>
          <t>CARAMELS D'ISIGNY</t>
        </is>
      </c>
      <c r="H389" s="16" t="inlineStr">
        <is>
          <t>2KG</t>
        </is>
      </c>
      <c r="I389" s="16" t="inlineStr">
        <is>
          <t>2000 g</t>
        </is>
      </c>
      <c r="J389" s="16" t="inlineStr">
        <is>
          <t>NON</t>
        </is>
      </c>
      <c r="K389" s="17" t="inlineStr">
        <is>
          <t>20 %</t>
        </is>
      </c>
      <c r="L389" s="18" t="n">
        <v>32.2</v>
      </c>
      <c r="M389" s="9" t="n">
        <v>46.5</v>
      </c>
      <c r="N389" s="10" t="inlineStr">
        <is>
          <t>PROPOSÉ</t>
        </is>
      </c>
      <c r="O389" s="11">
        <f>IF(M389="","",M389-L389)</f>
        <v/>
      </c>
      <c r="P389" s="12">
        <f>IF(OR(M389="",M389=0),"",(M389-L389)/M389)</f>
        <v/>
      </c>
      <c r="Q389" s="13">
        <f>IF(OR(M389="",L389=0,L389=""),"",M389/L389)</f>
        <v/>
      </c>
      <c r="R389" s="11">
        <f>IF(M389="","",M389*1.2)</f>
        <v/>
      </c>
      <c r="S389" s="14" t="n"/>
      <c r="T389" s="15" t="n"/>
    </row>
    <row r="390">
      <c r="A390" s="6" t="inlineStr">
        <is>
          <t>PROD-0606</t>
        </is>
      </c>
      <c r="B390" s="6" t="inlineStr">
        <is>
          <t>BOÎTE 2KG PRUNEAU</t>
        </is>
      </c>
      <c r="C390" s="6" t="inlineStr">
        <is>
          <t>CONFISERIE</t>
        </is>
      </c>
      <c r="D390" s="6" t="inlineStr">
        <is>
          <t>CARAMEL_VRAC</t>
        </is>
      </c>
      <c r="E390" s="6" t="inlineStr">
        <is>
          <t>PREMIUM</t>
        </is>
      </c>
      <c r="F390" s="6" t="inlineStr">
        <is>
          <t>CARAMELS D'ISIGNY</t>
        </is>
      </c>
      <c r="G390" s="6" t="inlineStr">
        <is>
          <t>CARAMELS D'ISIGNY</t>
        </is>
      </c>
      <c r="H390" s="6" t="inlineStr">
        <is>
          <t>2KG</t>
        </is>
      </c>
      <c r="I390" s="6" t="inlineStr">
        <is>
          <t>2000 g</t>
        </is>
      </c>
      <c r="J390" s="6" t="inlineStr">
        <is>
          <t>NON</t>
        </is>
      </c>
      <c r="K390" s="7" t="inlineStr">
        <is>
          <t>20 %</t>
        </is>
      </c>
      <c r="L390" s="8" t="n">
        <v>32.2</v>
      </c>
      <c r="M390" s="9" t="n">
        <v>46.5</v>
      </c>
      <c r="N390" s="10" t="inlineStr">
        <is>
          <t>PROPOSÉ</t>
        </is>
      </c>
      <c r="O390" s="11">
        <f>IF(M390="","",M390-L390)</f>
        <v/>
      </c>
      <c r="P390" s="12">
        <f>IF(OR(M390="",M390=0),"",(M390-L390)/M390)</f>
        <v/>
      </c>
      <c r="Q390" s="13">
        <f>IF(OR(M390="",L390=0,L390=""),"",M390/L390)</f>
        <v/>
      </c>
      <c r="R390" s="11">
        <f>IF(M390="","",M390*1.2)</f>
        <v/>
      </c>
      <c r="S390" s="14" t="n"/>
      <c r="T390" s="15" t="n"/>
    </row>
    <row r="391">
      <c r="A391" s="16" t="inlineStr">
        <is>
          <t>PROD-0607</t>
        </is>
      </c>
      <c r="B391" s="16" t="inlineStr">
        <is>
          <t>BOÎTE 2KG MARRON</t>
        </is>
      </c>
      <c r="C391" s="16" t="inlineStr">
        <is>
          <t>CONFISERIE</t>
        </is>
      </c>
      <c r="D391" s="16" t="inlineStr">
        <is>
          <t>CARAMEL_VRAC</t>
        </is>
      </c>
      <c r="E391" s="16" t="inlineStr">
        <is>
          <t>PREMIUM</t>
        </is>
      </c>
      <c r="F391" s="16" t="inlineStr">
        <is>
          <t>CARAMELS D'ISIGNY</t>
        </is>
      </c>
      <c r="G391" s="16" t="inlineStr">
        <is>
          <t>CARAMELS D'ISIGNY</t>
        </is>
      </c>
      <c r="H391" s="16" t="inlineStr">
        <is>
          <t>2KG</t>
        </is>
      </c>
      <c r="I391" s="16" t="inlineStr">
        <is>
          <t>2000 g</t>
        </is>
      </c>
      <c r="J391" s="16" t="inlineStr">
        <is>
          <t>NON</t>
        </is>
      </c>
      <c r="K391" s="17" t="inlineStr">
        <is>
          <t>20 %</t>
        </is>
      </c>
      <c r="L391" s="18" t="n">
        <v>32.2</v>
      </c>
      <c r="M391" s="9" t="n">
        <v>46.5</v>
      </c>
      <c r="N391" s="10" t="inlineStr">
        <is>
          <t>PROPOSÉ</t>
        </is>
      </c>
      <c r="O391" s="11">
        <f>IF(M391="","",M391-L391)</f>
        <v/>
      </c>
      <c r="P391" s="12">
        <f>IF(OR(M391="",M391=0),"",(M391-L391)/M391)</f>
        <v/>
      </c>
      <c r="Q391" s="13">
        <f>IF(OR(M391="",L391=0,L391=""),"",M391/L391)</f>
        <v/>
      </c>
      <c r="R391" s="11">
        <f>IF(M391="","",M391*1.2)</f>
        <v/>
      </c>
      <c r="S391" s="14" t="n"/>
      <c r="T391" s="15" t="n"/>
    </row>
    <row r="392">
      <c r="A392" s="6" t="inlineStr">
        <is>
          <t>PROD-0608</t>
        </is>
      </c>
      <c r="B392" s="6" t="inlineStr">
        <is>
          <t>BOÎTE 2KG NOIX</t>
        </is>
      </c>
      <c r="C392" s="6" t="inlineStr">
        <is>
          <t>CONFISERIE</t>
        </is>
      </c>
      <c r="D392" s="6" t="inlineStr">
        <is>
          <t>CARAMEL_VRAC</t>
        </is>
      </c>
      <c r="E392" s="6" t="inlineStr">
        <is>
          <t>PREMIUM</t>
        </is>
      </c>
      <c r="F392" s="6" t="inlineStr">
        <is>
          <t>CARAMELS D'ISIGNY</t>
        </is>
      </c>
      <c r="G392" s="6" t="inlineStr">
        <is>
          <t>CARAMELS D'ISIGNY</t>
        </is>
      </c>
      <c r="H392" s="6" t="inlineStr">
        <is>
          <t>2KG</t>
        </is>
      </c>
      <c r="I392" s="6" t="inlineStr">
        <is>
          <t>2000 g</t>
        </is>
      </c>
      <c r="J392" s="6" t="inlineStr">
        <is>
          <t>NON</t>
        </is>
      </c>
      <c r="K392" s="7" t="inlineStr">
        <is>
          <t>20 %</t>
        </is>
      </c>
      <c r="L392" s="8" t="n">
        <v>32.2</v>
      </c>
      <c r="M392" s="9" t="n">
        <v>46.5</v>
      </c>
      <c r="N392" s="10" t="inlineStr">
        <is>
          <t>PROPOSÉ</t>
        </is>
      </c>
      <c r="O392" s="11">
        <f>IF(M392="","",M392-L392)</f>
        <v/>
      </c>
      <c r="P392" s="12">
        <f>IF(OR(M392="",M392=0),"",(M392-L392)/M392)</f>
        <v/>
      </c>
      <c r="Q392" s="13">
        <f>IF(OR(M392="",L392=0,L392=""),"",M392/L392)</f>
        <v/>
      </c>
      <c r="R392" s="11">
        <f>IF(M392="","",M392*1.2)</f>
        <v/>
      </c>
      <c r="S392" s="14" t="n"/>
      <c r="T392" s="15" t="n"/>
    </row>
    <row r="393">
      <c r="A393" s="16" t="inlineStr">
        <is>
          <t>PROD-0609</t>
        </is>
      </c>
      <c r="B393" s="16" t="inlineStr">
        <is>
          <t>BOÎTE 2KG MIEL</t>
        </is>
      </c>
      <c r="C393" s="16" t="inlineStr">
        <is>
          <t>CONFISERIE</t>
        </is>
      </c>
      <c r="D393" s="16" t="inlineStr">
        <is>
          <t>CARAMEL_VRAC</t>
        </is>
      </c>
      <c r="E393" s="16" t="inlineStr">
        <is>
          <t>PREMIUM</t>
        </is>
      </c>
      <c r="F393" s="16" t="inlineStr">
        <is>
          <t>CARAMELS D'ISIGNY</t>
        </is>
      </c>
      <c r="G393" s="16" t="inlineStr">
        <is>
          <t>CARAMELS D'ISIGNY</t>
        </is>
      </c>
      <c r="H393" s="16" t="inlineStr">
        <is>
          <t>2KG</t>
        </is>
      </c>
      <c r="I393" s="16" t="inlineStr">
        <is>
          <t>2000 g</t>
        </is>
      </c>
      <c r="J393" s="16" t="inlineStr">
        <is>
          <t>NON</t>
        </is>
      </c>
      <c r="K393" s="17" t="inlineStr">
        <is>
          <t>20 %</t>
        </is>
      </c>
      <c r="L393" s="18" t="n">
        <v>32.2</v>
      </c>
      <c r="M393" s="9" t="n">
        <v>46.5</v>
      </c>
      <c r="N393" s="10" t="inlineStr">
        <is>
          <t>PROPOSÉ</t>
        </is>
      </c>
      <c r="O393" s="11">
        <f>IF(M393="","",M393-L393)</f>
        <v/>
      </c>
      <c r="P393" s="12">
        <f>IF(OR(M393="",M393=0),"",(M393-L393)/M393)</f>
        <v/>
      </c>
      <c r="Q393" s="13">
        <f>IF(OR(M393="",L393=0,L393=""),"",M393/L393)</f>
        <v/>
      </c>
      <c r="R393" s="11">
        <f>IF(M393="","",M393*1.2)</f>
        <v/>
      </c>
      <c r="S393" s="14" t="n"/>
      <c r="T393" s="15" t="n"/>
    </row>
    <row r="394">
      <c r="A394" s="6" t="inlineStr">
        <is>
          <t>PROD-0610</t>
        </is>
      </c>
      <c r="B394" s="6" t="inlineStr">
        <is>
          <t>BOÎTE 2KG CHOCOLAT</t>
        </is>
      </c>
      <c r="C394" s="6" t="inlineStr">
        <is>
          <t>CONFISERIE</t>
        </is>
      </c>
      <c r="D394" s="6" t="inlineStr">
        <is>
          <t>CARAMEL_VRAC</t>
        </is>
      </c>
      <c r="E394" s="6" t="inlineStr">
        <is>
          <t>PREMIUM</t>
        </is>
      </c>
      <c r="F394" s="6" t="inlineStr">
        <is>
          <t>CARAMELS D'ISIGNY</t>
        </is>
      </c>
      <c r="G394" s="6" t="inlineStr">
        <is>
          <t>CARAMELS D'ISIGNY</t>
        </is>
      </c>
      <c r="H394" s="6" t="inlineStr">
        <is>
          <t>2KG</t>
        </is>
      </c>
      <c r="I394" s="6" t="inlineStr">
        <is>
          <t>2000 g</t>
        </is>
      </c>
      <c r="J394" s="6" t="inlineStr">
        <is>
          <t>NON</t>
        </is>
      </c>
      <c r="K394" s="7" t="inlineStr">
        <is>
          <t>20 %</t>
        </is>
      </c>
      <c r="L394" s="8" t="n">
        <v>32.2</v>
      </c>
      <c r="M394" s="9" t="n">
        <v>46.5</v>
      </c>
      <c r="N394" s="10" t="inlineStr">
        <is>
          <t>PROPOSÉ</t>
        </is>
      </c>
      <c r="O394" s="11">
        <f>IF(M394="","",M394-L394)</f>
        <v/>
      </c>
      <c r="P394" s="12">
        <f>IF(OR(M394="",M394=0),"",(M394-L394)/M394)</f>
        <v/>
      </c>
      <c r="Q394" s="13">
        <f>IF(OR(M394="",L394=0,L394=""),"",M394/L394)</f>
        <v/>
      </c>
      <c r="R394" s="11">
        <f>IF(M394="","",M394*1.2)</f>
        <v/>
      </c>
      <c r="S394" s="14" t="n"/>
      <c r="T394" s="15" t="n"/>
    </row>
    <row r="395">
      <c r="A395" s="16" t="inlineStr">
        <is>
          <t>PROD-0611</t>
        </is>
      </c>
      <c r="B395" s="16" t="inlineStr">
        <is>
          <t>BOÎTE 2KG CAFÉ</t>
        </is>
      </c>
      <c r="C395" s="16" t="inlineStr">
        <is>
          <t>CONFISERIE</t>
        </is>
      </c>
      <c r="D395" s="16" t="inlineStr">
        <is>
          <t>CARAMEL_VRAC</t>
        </is>
      </c>
      <c r="E395" s="16" t="inlineStr">
        <is>
          <t>PREMIUM</t>
        </is>
      </c>
      <c r="F395" s="16" t="inlineStr">
        <is>
          <t>CARAMELS D'ISIGNY</t>
        </is>
      </c>
      <c r="G395" s="16" t="inlineStr">
        <is>
          <t>CARAMELS D'ISIGNY</t>
        </is>
      </c>
      <c r="H395" s="16" t="inlineStr">
        <is>
          <t>2KG</t>
        </is>
      </c>
      <c r="I395" s="16" t="inlineStr">
        <is>
          <t>2000 g</t>
        </is>
      </c>
      <c r="J395" s="16" t="inlineStr">
        <is>
          <t>NON</t>
        </is>
      </c>
      <c r="K395" s="17" t="inlineStr">
        <is>
          <t>20 %</t>
        </is>
      </c>
      <c r="L395" s="18" t="n">
        <v>32.2</v>
      </c>
      <c r="M395" s="9" t="n">
        <v>46.5</v>
      </c>
      <c r="N395" s="10" t="inlineStr">
        <is>
          <t>PROPOSÉ</t>
        </is>
      </c>
      <c r="O395" s="11">
        <f>IF(M395="","",M395-L395)</f>
        <v/>
      </c>
      <c r="P395" s="12">
        <f>IF(OR(M395="",M395=0),"",(M395-L395)/M395)</f>
        <v/>
      </c>
      <c r="Q395" s="13">
        <f>IF(OR(M395="",L395=0,L395=""),"",M395/L395)</f>
        <v/>
      </c>
      <c r="R395" s="11">
        <f>IF(M395="","",M395*1.2)</f>
        <v/>
      </c>
      <c r="S395" s="14" t="n"/>
      <c r="T395" s="15" t="n"/>
    </row>
    <row r="396">
      <c r="A396" s="6" t="inlineStr">
        <is>
          <t>PROD-0612</t>
        </is>
      </c>
      <c r="B396" s="6" t="inlineStr">
        <is>
          <t>BOÎTE 2KG NOISETTE</t>
        </is>
      </c>
      <c r="C396" s="6" t="inlineStr">
        <is>
          <t>CONFISERIE</t>
        </is>
      </c>
      <c r="D396" s="6" t="inlineStr">
        <is>
          <t>CARAMEL_VRAC</t>
        </is>
      </c>
      <c r="E396" s="6" t="inlineStr">
        <is>
          <t>PREMIUM</t>
        </is>
      </c>
      <c r="F396" s="6" t="inlineStr">
        <is>
          <t>CARAMELS D'ISIGNY</t>
        </is>
      </c>
      <c r="G396" s="6" t="inlineStr">
        <is>
          <t>CARAMELS D'ISIGNY</t>
        </is>
      </c>
      <c r="H396" s="6" t="inlineStr">
        <is>
          <t>2KG</t>
        </is>
      </c>
      <c r="I396" s="6" t="inlineStr">
        <is>
          <t>2000 g</t>
        </is>
      </c>
      <c r="J396" s="6" t="inlineStr">
        <is>
          <t>NON</t>
        </is>
      </c>
      <c r="K396" s="7" t="inlineStr">
        <is>
          <t>20 %</t>
        </is>
      </c>
      <c r="L396" s="8" t="n">
        <v>32.2</v>
      </c>
      <c r="M396" s="9" t="n">
        <v>46.5</v>
      </c>
      <c r="N396" s="10" t="inlineStr">
        <is>
          <t>PROPOSÉ</t>
        </is>
      </c>
      <c r="O396" s="11">
        <f>IF(M396="","",M396-L396)</f>
        <v/>
      </c>
      <c r="P396" s="12">
        <f>IF(OR(M396="",M396=0),"",(M396-L396)/M396)</f>
        <v/>
      </c>
      <c r="Q396" s="13">
        <f>IF(OR(M396="",L396=0,L396=""),"",M396/L396)</f>
        <v/>
      </c>
      <c r="R396" s="11">
        <f>IF(M396="","",M396*1.2)</f>
        <v/>
      </c>
      <c r="S396" s="14" t="n"/>
      <c r="T396" s="15" t="n"/>
    </row>
    <row r="397">
      <c r="A397" s="16" t="inlineStr">
        <is>
          <t>PROD-0613</t>
        </is>
      </c>
      <c r="B397" s="16" t="inlineStr">
        <is>
          <t>BOÎTE 2KG MYRTILLE</t>
        </is>
      </c>
      <c r="C397" s="16" t="inlineStr">
        <is>
          <t>CONFISERIE</t>
        </is>
      </c>
      <c r="D397" s="16" t="inlineStr">
        <is>
          <t>CARAMEL_VRAC</t>
        </is>
      </c>
      <c r="E397" s="16" t="inlineStr">
        <is>
          <t>PREMIUM</t>
        </is>
      </c>
      <c r="F397" s="16" t="inlineStr">
        <is>
          <t>CARAMELS D'ISIGNY</t>
        </is>
      </c>
      <c r="G397" s="16" t="inlineStr">
        <is>
          <t>CARAMELS D'ISIGNY</t>
        </is>
      </c>
      <c r="H397" s="16" t="inlineStr">
        <is>
          <t>2KG</t>
        </is>
      </c>
      <c r="I397" s="16" t="inlineStr">
        <is>
          <t>2000 g</t>
        </is>
      </c>
      <c r="J397" s="16" t="inlineStr">
        <is>
          <t>NON</t>
        </is>
      </c>
      <c r="K397" s="17" t="inlineStr">
        <is>
          <t>20 %</t>
        </is>
      </c>
      <c r="L397" s="18" t="n">
        <v>32.2</v>
      </c>
      <c r="M397" s="9" t="n">
        <v>46.5</v>
      </c>
      <c r="N397" s="10" t="inlineStr">
        <is>
          <t>PROPOSÉ</t>
        </is>
      </c>
      <c r="O397" s="11">
        <f>IF(M397="","",M397-L397)</f>
        <v/>
      </c>
      <c r="P397" s="12">
        <f>IF(OR(M397="",M397=0),"",(M397-L397)/M397)</f>
        <v/>
      </c>
      <c r="Q397" s="13">
        <f>IF(OR(M397="",L397=0,L397=""),"",M397/L397)</f>
        <v/>
      </c>
      <c r="R397" s="11">
        <f>IF(M397="","",M397*1.2)</f>
        <v/>
      </c>
      <c r="S397" s="14" t="n"/>
      <c r="T397" s="15" t="n"/>
    </row>
    <row r="398">
      <c r="A398" s="6" t="inlineStr">
        <is>
          <t>PROD-0614</t>
        </is>
      </c>
      <c r="B398" s="6" t="inlineStr">
        <is>
          <t>BOÎTE 2KG CASSIS</t>
        </is>
      </c>
      <c r="C398" s="6" t="inlineStr">
        <is>
          <t>CONFISERIE</t>
        </is>
      </c>
      <c r="D398" s="6" t="inlineStr">
        <is>
          <t>CARAMEL_VRAC</t>
        </is>
      </c>
      <c r="E398" s="6" t="inlineStr">
        <is>
          <t>PREMIUM</t>
        </is>
      </c>
      <c r="F398" s="6" t="inlineStr">
        <is>
          <t>CARAMELS D'ISIGNY</t>
        </is>
      </c>
      <c r="G398" s="6" t="inlineStr">
        <is>
          <t>CARAMELS D'ISIGNY</t>
        </is>
      </c>
      <c r="H398" s="6" t="inlineStr">
        <is>
          <t>2KG</t>
        </is>
      </c>
      <c r="I398" s="6" t="inlineStr">
        <is>
          <t>2000 g</t>
        </is>
      </c>
      <c r="J398" s="6" t="inlineStr">
        <is>
          <t>NON</t>
        </is>
      </c>
      <c r="K398" s="7" t="inlineStr">
        <is>
          <t>20 %</t>
        </is>
      </c>
      <c r="L398" s="8" t="n">
        <v>32.2</v>
      </c>
      <c r="M398" s="9" t="n">
        <v>46.5</v>
      </c>
      <c r="N398" s="10" t="inlineStr">
        <is>
          <t>PROPOSÉ</t>
        </is>
      </c>
      <c r="O398" s="11">
        <f>IF(M398="","",M398-L398)</f>
        <v/>
      </c>
      <c r="P398" s="12">
        <f>IF(OR(M398="",M398=0),"",(M398-L398)/M398)</f>
        <v/>
      </c>
      <c r="Q398" s="13">
        <f>IF(OR(M398="",L398=0,L398=""),"",M398/L398)</f>
        <v/>
      </c>
      <c r="R398" s="11">
        <f>IF(M398="","",M398*1.2)</f>
        <v/>
      </c>
      <c r="S398" s="14" t="n"/>
      <c r="T398" s="15" t="n"/>
    </row>
    <row r="399">
      <c r="A399" s="16" t="inlineStr">
        <is>
          <t>PROD-0615</t>
        </is>
      </c>
      <c r="B399" s="16" t="inlineStr">
        <is>
          <t>BOÎTE 2KG FRAISE</t>
        </is>
      </c>
      <c r="C399" s="16" t="inlineStr">
        <is>
          <t>CONFISERIE</t>
        </is>
      </c>
      <c r="D399" s="16" t="inlineStr">
        <is>
          <t>CARAMEL_VRAC</t>
        </is>
      </c>
      <c r="E399" s="16" t="inlineStr">
        <is>
          <t>PREMIUM</t>
        </is>
      </c>
      <c r="F399" s="16" t="inlineStr">
        <is>
          <t>CARAMELS D'ISIGNY</t>
        </is>
      </c>
      <c r="G399" s="16" t="inlineStr">
        <is>
          <t>CARAMELS D'ISIGNY</t>
        </is>
      </c>
      <c r="H399" s="16" t="inlineStr">
        <is>
          <t>2KG</t>
        </is>
      </c>
      <c r="I399" s="16" t="inlineStr">
        <is>
          <t>2000 g</t>
        </is>
      </c>
      <c r="J399" s="16" t="inlineStr">
        <is>
          <t>NON</t>
        </is>
      </c>
      <c r="K399" s="17" t="inlineStr">
        <is>
          <t>20 %</t>
        </is>
      </c>
      <c r="L399" s="18" t="n">
        <v>32.2</v>
      </c>
      <c r="M399" s="9" t="n">
        <v>46.5</v>
      </c>
      <c r="N399" s="10" t="inlineStr">
        <is>
          <t>PROPOSÉ</t>
        </is>
      </c>
      <c r="O399" s="11">
        <f>IF(M399="","",M399-L399)</f>
        <v/>
      </c>
      <c r="P399" s="12">
        <f>IF(OR(M399="",M399=0),"",(M399-L399)/M399)</f>
        <v/>
      </c>
      <c r="Q399" s="13">
        <f>IF(OR(M399="",L399=0,L399=""),"",M399/L399)</f>
        <v/>
      </c>
      <c r="R399" s="11">
        <f>IF(M399="","",M399*1.2)</f>
        <v/>
      </c>
      <c r="S399" s="14" t="n"/>
      <c r="T399" s="15" t="n"/>
    </row>
    <row r="400">
      <c r="A400" s="6" t="inlineStr">
        <is>
          <t>PROD-0616</t>
        </is>
      </c>
      <c r="B400" s="6" t="inlineStr">
        <is>
          <t>BOÎTE 2KG MIRABELLE</t>
        </is>
      </c>
      <c r="C400" s="6" t="inlineStr">
        <is>
          <t>CONFISERIE</t>
        </is>
      </c>
      <c r="D400" s="6" t="inlineStr">
        <is>
          <t>CARAMEL_VRAC</t>
        </is>
      </c>
      <c r="E400" s="6" t="inlineStr">
        <is>
          <t>PREMIUM</t>
        </is>
      </c>
      <c r="F400" s="6" t="inlineStr">
        <is>
          <t>CARAMELS D'ISIGNY</t>
        </is>
      </c>
      <c r="G400" s="6" t="inlineStr">
        <is>
          <t>CARAMELS D'ISIGNY</t>
        </is>
      </c>
      <c r="H400" s="6" t="inlineStr">
        <is>
          <t>2KG</t>
        </is>
      </c>
      <c r="I400" s="6" t="inlineStr">
        <is>
          <t>2000 g</t>
        </is>
      </c>
      <c r="J400" s="6" t="inlineStr">
        <is>
          <t>NON</t>
        </is>
      </c>
      <c r="K400" s="7" t="inlineStr">
        <is>
          <t>20 %</t>
        </is>
      </c>
      <c r="L400" s="8" t="n">
        <v>32.2</v>
      </c>
      <c r="M400" s="9" t="n">
        <v>46.5</v>
      </c>
      <c r="N400" s="10" t="inlineStr">
        <is>
          <t>PROPOSÉ</t>
        </is>
      </c>
      <c r="O400" s="11">
        <f>IF(M400="","",M400-L400)</f>
        <v/>
      </c>
      <c r="P400" s="12">
        <f>IF(OR(M400="",M400=0),"",(M400-L400)/M400)</f>
        <v/>
      </c>
      <c r="Q400" s="13">
        <f>IF(OR(M400="",L400=0,L400=""),"",M400/L400)</f>
        <v/>
      </c>
      <c r="R400" s="11">
        <f>IF(M400="","",M400*1.2)</f>
        <v/>
      </c>
      <c r="S400" s="14" t="n"/>
      <c r="T400" s="15" t="n"/>
    </row>
    <row r="401">
      <c r="A401" s="16" t="inlineStr">
        <is>
          <t>PROD-0617</t>
        </is>
      </c>
      <c r="B401" s="16" t="inlineStr">
        <is>
          <t>BOÎTE 2KG BEURRE SALÉ D’ISIGNY AOP</t>
        </is>
      </c>
      <c r="C401" s="16" t="inlineStr">
        <is>
          <t>CONFISERIE</t>
        </is>
      </c>
      <c r="D401" s="16" t="inlineStr">
        <is>
          <t>CARAMEL_VRAC</t>
        </is>
      </c>
      <c r="E401" s="16" t="inlineStr">
        <is>
          <t>PREMIUM</t>
        </is>
      </c>
      <c r="F401" s="16" t="inlineStr">
        <is>
          <t>CARAMELS D'ISIGNY</t>
        </is>
      </c>
      <c r="G401" s="16" t="inlineStr">
        <is>
          <t>CARAMELS D'ISIGNY</t>
        </is>
      </c>
      <c r="H401" s="16" t="inlineStr">
        <is>
          <t>2KG</t>
        </is>
      </c>
      <c r="I401" s="16" t="inlineStr">
        <is>
          <t>2000 g</t>
        </is>
      </c>
      <c r="J401" s="16" t="inlineStr">
        <is>
          <t>NON</t>
        </is>
      </c>
      <c r="K401" s="17" t="inlineStr">
        <is>
          <t>20 %</t>
        </is>
      </c>
      <c r="L401" s="18" t="n">
        <v>31.6</v>
      </c>
      <c r="M401" s="9" t="n">
        <v>45.5</v>
      </c>
      <c r="N401" s="10" t="inlineStr">
        <is>
          <t>PROPOSÉ</t>
        </is>
      </c>
      <c r="O401" s="11">
        <f>IF(M401="","",M401-L401)</f>
        <v/>
      </c>
      <c r="P401" s="12">
        <f>IF(OR(M401="",M401=0),"",(M401-L401)/M401)</f>
        <v/>
      </c>
      <c r="Q401" s="13">
        <f>IF(OR(M401="",L401=0,L401=""),"",M401/L401)</f>
        <v/>
      </c>
      <c r="R401" s="11">
        <f>IF(M401="","",M401*1.2)</f>
        <v/>
      </c>
      <c r="S401" s="14" t="n"/>
      <c r="T401" s="15" t="n"/>
    </row>
    <row r="402">
      <c r="A402" s="6" t="inlineStr">
        <is>
          <t>PROD-0618</t>
        </is>
      </c>
      <c r="B402" s="6" t="inlineStr">
        <is>
          <t>BOÎTE 2KG BEURRE DOUX D’ISIGNY AOP</t>
        </is>
      </c>
      <c r="C402" s="6" t="inlineStr">
        <is>
          <t>CONFISERIE</t>
        </is>
      </c>
      <c r="D402" s="6" t="inlineStr">
        <is>
          <t>CARAMEL_VRAC</t>
        </is>
      </c>
      <c r="E402" s="6" t="inlineStr">
        <is>
          <t>PREMIUM</t>
        </is>
      </c>
      <c r="F402" s="6" t="inlineStr">
        <is>
          <t>CARAMELS D'ISIGNY</t>
        </is>
      </c>
      <c r="G402" s="6" t="inlineStr">
        <is>
          <t>CARAMELS D'ISIGNY</t>
        </is>
      </c>
      <c r="H402" s="6" t="inlineStr">
        <is>
          <t>2KG</t>
        </is>
      </c>
      <c r="I402" s="6" t="inlineStr">
        <is>
          <t>2000 g</t>
        </is>
      </c>
      <c r="J402" s="6" t="inlineStr">
        <is>
          <t>NON</t>
        </is>
      </c>
      <c r="K402" s="7" t="inlineStr">
        <is>
          <t>20 %</t>
        </is>
      </c>
      <c r="L402" s="8" t="n">
        <v>31.6</v>
      </c>
      <c r="M402" s="9" t="n">
        <v>45.5</v>
      </c>
      <c r="N402" s="10" t="inlineStr">
        <is>
          <t>PROPOSÉ</t>
        </is>
      </c>
      <c r="O402" s="11">
        <f>IF(M402="","",M402-L402)</f>
        <v/>
      </c>
      <c r="P402" s="12">
        <f>IF(OR(M402="",M402=0),"",(M402-L402)/M402)</f>
        <v/>
      </c>
      <c r="Q402" s="13">
        <f>IF(OR(M402="",L402=0,L402=""),"",M402/L402)</f>
        <v/>
      </c>
      <c r="R402" s="11">
        <f>IF(M402="","",M402*1.2)</f>
        <v/>
      </c>
      <c r="S402" s="14" t="n"/>
      <c r="T402" s="15" t="n"/>
    </row>
    <row r="403">
      <c r="A403" s="16" t="inlineStr">
        <is>
          <t>PROD-0619</t>
        </is>
      </c>
      <c r="B403" s="16" t="inlineStr">
        <is>
          <t>BOÎTE 2KG CAFÉ</t>
        </is>
      </c>
      <c r="C403" s="16" t="inlineStr">
        <is>
          <t>CONFISERIE</t>
        </is>
      </c>
      <c r="D403" s="16" t="inlineStr">
        <is>
          <t>CARAMEL_VRAC</t>
        </is>
      </c>
      <c r="E403" s="16" t="inlineStr">
        <is>
          <t>PREMIUM</t>
        </is>
      </c>
      <c r="F403" s="16" t="inlineStr">
        <is>
          <t>CARAMELS D'ISIGNY</t>
        </is>
      </c>
      <c r="G403" s="16" t="inlineStr">
        <is>
          <t>CARAMELS D'ISIGNY</t>
        </is>
      </c>
      <c r="H403" s="16" t="inlineStr">
        <is>
          <t>2KG</t>
        </is>
      </c>
      <c r="I403" s="16" t="inlineStr">
        <is>
          <t>2000 g</t>
        </is>
      </c>
      <c r="J403" s="16" t="inlineStr">
        <is>
          <t>NON</t>
        </is>
      </c>
      <c r="K403" s="17" t="inlineStr">
        <is>
          <t>20 %</t>
        </is>
      </c>
      <c r="L403" s="18" t="n">
        <v>31.6</v>
      </c>
      <c r="M403" s="9" t="n">
        <v>45.5</v>
      </c>
      <c r="N403" s="10" t="inlineStr">
        <is>
          <t>PROPOSÉ</t>
        </is>
      </c>
      <c r="O403" s="11">
        <f>IF(M403="","",M403-L403)</f>
        <v/>
      </c>
      <c r="P403" s="12">
        <f>IF(OR(M403="",M403=0),"",(M403-L403)/M403)</f>
        <v/>
      </c>
      <c r="Q403" s="13">
        <f>IF(OR(M403="",L403=0,L403=""),"",M403/L403)</f>
        <v/>
      </c>
      <c r="R403" s="11">
        <f>IF(M403="","",M403*1.2)</f>
        <v/>
      </c>
      <c r="S403" s="14" t="n"/>
      <c r="T403" s="15" t="n"/>
    </row>
    <row r="404">
      <c r="A404" s="6" t="inlineStr">
        <is>
          <t>PROD-0620</t>
        </is>
      </c>
      <c r="B404" s="6" t="inlineStr">
        <is>
          <t>BOÎTE 2KG CHOCOLAT</t>
        </is>
      </c>
      <c r="C404" s="6" t="inlineStr">
        <is>
          <t>CONFISERIE</t>
        </is>
      </c>
      <c r="D404" s="6" t="inlineStr">
        <is>
          <t>CARAMEL_VRAC</t>
        </is>
      </c>
      <c r="E404" s="6" t="inlineStr">
        <is>
          <t>PREMIUM</t>
        </is>
      </c>
      <c r="F404" s="6" t="inlineStr">
        <is>
          <t>CARAMELS D'ISIGNY</t>
        </is>
      </c>
      <c r="G404" s="6" t="inlineStr">
        <is>
          <t>CARAMELS D'ISIGNY</t>
        </is>
      </c>
      <c r="H404" s="6" t="inlineStr">
        <is>
          <t>2KG</t>
        </is>
      </c>
      <c r="I404" s="6" t="inlineStr">
        <is>
          <t>2000 g</t>
        </is>
      </c>
      <c r="J404" s="6" t="inlineStr">
        <is>
          <t>NON</t>
        </is>
      </c>
      <c r="K404" s="7" t="inlineStr">
        <is>
          <t>20 %</t>
        </is>
      </c>
      <c r="L404" s="8" t="n">
        <v>31.6</v>
      </c>
      <c r="M404" s="9" t="n">
        <v>45.5</v>
      </c>
      <c r="N404" s="10" t="inlineStr">
        <is>
          <t>PROPOSÉ</t>
        </is>
      </c>
      <c r="O404" s="11">
        <f>IF(M404="","",M404-L404)</f>
        <v/>
      </c>
      <c r="P404" s="12">
        <f>IF(OR(M404="",M404=0),"",(M404-L404)/M404)</f>
        <v/>
      </c>
      <c r="Q404" s="13">
        <f>IF(OR(M404="",L404=0,L404=""),"",M404/L404)</f>
        <v/>
      </c>
      <c r="R404" s="11">
        <f>IF(M404="","",M404*1.2)</f>
        <v/>
      </c>
      <c r="S404" s="14" t="n"/>
      <c r="T404" s="15" t="n"/>
    </row>
    <row r="405">
      <c r="A405" s="16" t="inlineStr">
        <is>
          <t>PROD-0621</t>
        </is>
      </c>
      <c r="B405" s="16" t="inlineStr">
        <is>
          <t>BOÎTE 2KG NOISETTE</t>
        </is>
      </c>
      <c r="C405" s="16" t="inlineStr">
        <is>
          <t>CONFISERIE</t>
        </is>
      </c>
      <c r="D405" s="16" t="inlineStr">
        <is>
          <t>CARAMEL_VRAC</t>
        </is>
      </c>
      <c r="E405" s="16" t="inlineStr">
        <is>
          <t>PREMIUM</t>
        </is>
      </c>
      <c r="F405" s="16" t="inlineStr">
        <is>
          <t>CARAMELS D'ISIGNY</t>
        </is>
      </c>
      <c r="G405" s="16" t="inlineStr">
        <is>
          <t>CARAMELS D'ISIGNY</t>
        </is>
      </c>
      <c r="H405" s="16" t="inlineStr">
        <is>
          <t>2KG</t>
        </is>
      </c>
      <c r="I405" s="16" t="inlineStr">
        <is>
          <t>2000 g</t>
        </is>
      </c>
      <c r="J405" s="16" t="inlineStr">
        <is>
          <t>NON</t>
        </is>
      </c>
      <c r="K405" s="17" t="inlineStr">
        <is>
          <t>20 %</t>
        </is>
      </c>
      <c r="L405" s="18" t="n">
        <v>31.6</v>
      </c>
      <c r="M405" s="9" t="n">
        <v>45.5</v>
      </c>
      <c r="N405" s="10" t="inlineStr">
        <is>
          <t>PROPOSÉ</t>
        </is>
      </c>
      <c r="O405" s="11">
        <f>IF(M405="","",M405-L405)</f>
        <v/>
      </c>
      <c r="P405" s="12">
        <f>IF(OR(M405="",M405=0),"",(M405-L405)/M405)</f>
        <v/>
      </c>
      <c r="Q405" s="13">
        <f>IF(OR(M405="",L405=0,L405=""),"",M405/L405)</f>
        <v/>
      </c>
      <c r="R405" s="11">
        <f>IF(M405="","",M405*1.2)</f>
        <v/>
      </c>
      <c r="S405" s="14" t="n"/>
      <c r="T405" s="15" t="n"/>
    </row>
    <row r="406">
      <c r="A406" s="6" t="inlineStr">
        <is>
          <t>PROD-0501</t>
        </is>
      </c>
      <c r="B406" s="6" t="inlineStr">
        <is>
          <t>Boite prestige 320gr</t>
        </is>
      </c>
      <c r="C406" s="6" t="inlineStr">
        <is>
          <t>CONFISERIE</t>
        </is>
      </c>
      <c r="D406" s="6" t="inlineStr">
        <is>
          <t>BONBON_ET_CONFISERIE</t>
        </is>
      </c>
      <c r="E406" s="6" t="inlineStr">
        <is>
          <t>PREMIUM</t>
        </is>
      </c>
      <c r="F406" s="6" t="inlineStr">
        <is>
          <t>CROCAEN'T</t>
        </is>
      </c>
      <c r="G406" s="6" t="inlineStr">
        <is>
          <t>NORMAND DIRECT TERROIR</t>
        </is>
      </c>
      <c r="H406" s="6" t="inlineStr">
        <is>
          <t>billes chocolatées</t>
        </is>
      </c>
      <c r="I406" s="6" t="inlineStr">
        <is>
          <t>320 g</t>
        </is>
      </c>
      <c r="J406" s="6" t="inlineStr">
        <is>
          <t>NON</t>
        </is>
      </c>
      <c r="K406" s="7" t="inlineStr">
        <is>
          <t>5.5 %</t>
        </is>
      </c>
      <c r="L406" s="8" t="n">
        <v>23.52</v>
      </c>
      <c r="M406" s="9" t="n">
        <v>48</v>
      </c>
      <c r="N406" s="10" t="inlineStr">
        <is>
          <t>PROPOSÉ</t>
        </is>
      </c>
      <c r="O406" s="11">
        <f>IF(M406="","",M406-L406)</f>
        <v/>
      </c>
      <c r="P406" s="12">
        <f>IF(OR(M406="",M406=0),"",(M406-L406)/M406)</f>
        <v/>
      </c>
      <c r="Q406" s="13">
        <f>IF(OR(M406="",L406=0,L406=""),"",M406/L406)</f>
        <v/>
      </c>
      <c r="R406" s="11">
        <f>IF(M406="","",M406*1.055)</f>
        <v/>
      </c>
      <c r="S406" s="14" t="n"/>
      <c r="T406" s="15" t="n"/>
    </row>
    <row r="407">
      <c r="A407" s="16" t="inlineStr">
        <is>
          <t>PROD-0299</t>
        </is>
      </c>
      <c r="B407" s="16" t="inlineStr">
        <is>
          <t>Calvados Arrangé Pomme Caramel 70 cl</t>
        </is>
      </c>
      <c r="C407" s="16" t="inlineStr">
        <is>
          <t>CONFISERIE</t>
        </is>
      </c>
      <c r="D407" s="16" t="inlineStr">
        <is>
          <t>CARAMEL</t>
        </is>
      </c>
      <c r="E407" s="16" t="inlineStr">
        <is>
          <t>PREMIUM</t>
        </is>
      </c>
      <c r="F407" s="16" t="inlineStr">
        <is>
          <t>POM’ POM’</t>
        </is>
      </c>
      <c r="G407" s="16" t="inlineStr">
        <is>
          <t>NORMAND DIRECT TERROIR</t>
        </is>
      </c>
      <c r="H407" s="16" t="inlineStr"/>
      <c r="I407" s="16" t="inlineStr">
        <is>
          <t>700 ml</t>
        </is>
      </c>
      <c r="J407" s="16" t="inlineStr">
        <is>
          <t>INGREDIENT_ALCOOLISE</t>
        </is>
      </c>
      <c r="K407" s="17" t="inlineStr">
        <is>
          <t>20 %</t>
        </is>
      </c>
      <c r="L407" s="18" t="n">
        <v>20.9</v>
      </c>
      <c r="M407" s="9" t="n">
        <v>42.5</v>
      </c>
      <c r="N407" s="10" t="inlineStr">
        <is>
          <t>PROPOSÉ</t>
        </is>
      </c>
      <c r="O407" s="11">
        <f>IF(M407="","",M407-L407)</f>
        <v/>
      </c>
      <c r="P407" s="12">
        <f>IF(OR(M407="",M407=0),"",(M407-L407)/M407)</f>
        <v/>
      </c>
      <c r="Q407" s="13">
        <f>IF(OR(M407="",L407=0,L407=""),"",M407/L407)</f>
        <v/>
      </c>
      <c r="R407" s="11">
        <f>IF(M407="","",M407*1.2)</f>
        <v/>
      </c>
      <c r="S407" s="14" t="n"/>
      <c r="T407" s="15" t="n"/>
    </row>
    <row r="408">
      <c r="A408" s="6" t="inlineStr">
        <is>
          <t>PROD-0303</t>
        </is>
      </c>
      <c r="B408" s="6" t="inlineStr">
        <is>
          <t>Calvados Arrangé Ananas Caramel fleur de sel 70 cl</t>
        </is>
      </c>
      <c r="C408" s="6" t="inlineStr">
        <is>
          <t>CONFISERIE</t>
        </is>
      </c>
      <c r="D408" s="6" t="inlineStr">
        <is>
          <t>CARAMEL</t>
        </is>
      </c>
      <c r="E408" s="6" t="inlineStr">
        <is>
          <t>PREMIUM</t>
        </is>
      </c>
      <c r="F408" s="6" t="inlineStr">
        <is>
          <t>POM’ POM’</t>
        </is>
      </c>
      <c r="G408" s="6" t="inlineStr">
        <is>
          <t>NORMAND DIRECT TERROIR</t>
        </is>
      </c>
      <c r="H408" s="6" t="inlineStr"/>
      <c r="I408" s="6" t="inlineStr">
        <is>
          <t>700 ml</t>
        </is>
      </c>
      <c r="J408" s="6" t="inlineStr">
        <is>
          <t>INGREDIENT_ALCOOLISE</t>
        </is>
      </c>
      <c r="K408" s="7" t="inlineStr">
        <is>
          <t>20 %</t>
        </is>
      </c>
      <c r="L408" s="8" t="n">
        <v>20.9</v>
      </c>
      <c r="M408" s="9" t="n">
        <v>42.5</v>
      </c>
      <c r="N408" s="10" t="inlineStr">
        <is>
          <t>PROPOSÉ</t>
        </is>
      </c>
      <c r="O408" s="11">
        <f>IF(M408="","",M408-L408)</f>
        <v/>
      </c>
      <c r="P408" s="12">
        <f>IF(OR(M408="",M408=0),"",(M408-L408)/M408)</f>
        <v/>
      </c>
      <c r="Q408" s="13">
        <f>IF(OR(M408="",L408=0,L408=""),"",M408/L408)</f>
        <v/>
      </c>
      <c r="R408" s="11">
        <f>IF(M408="","",M408*1.2)</f>
        <v/>
      </c>
      <c r="S408" s="14" t="n"/>
      <c r="T408" s="15" t="n"/>
    </row>
    <row r="409">
      <c r="A409" s="16" t="inlineStr">
        <is>
          <t>PROD-0500</t>
        </is>
      </c>
      <c r="B409" s="16" t="inlineStr">
        <is>
          <t>Boite prestige 250gr</t>
        </is>
      </c>
      <c r="C409" s="16" t="inlineStr">
        <is>
          <t>CONFISERIE</t>
        </is>
      </c>
      <c r="D409" s="16" t="inlineStr">
        <is>
          <t>BONBON_ET_CONFISERIE</t>
        </is>
      </c>
      <c r="E409" s="16" t="inlineStr">
        <is>
          <t>PREMIUM</t>
        </is>
      </c>
      <c r="F409" s="16" t="inlineStr">
        <is>
          <t>CROCAEN'T</t>
        </is>
      </c>
      <c r="G409" s="16" t="inlineStr">
        <is>
          <t>NORMAND DIRECT TERROIR</t>
        </is>
      </c>
      <c r="H409" s="16" t="inlineStr">
        <is>
          <t>billes chocolatées</t>
        </is>
      </c>
      <c r="I409" s="16" t="inlineStr">
        <is>
          <t>250 g</t>
        </is>
      </c>
      <c r="J409" s="16" t="inlineStr">
        <is>
          <t>NON</t>
        </is>
      </c>
      <c r="K409" s="17" t="inlineStr">
        <is>
          <t>5.5 %</t>
        </is>
      </c>
      <c r="L409" s="18" t="n">
        <v>17.96</v>
      </c>
      <c r="M409" s="9" t="n">
        <v>39.5</v>
      </c>
      <c r="N409" s="10" t="inlineStr">
        <is>
          <t>PROPOSÉ</t>
        </is>
      </c>
      <c r="O409" s="11">
        <f>IF(M409="","",M409-L409)</f>
        <v/>
      </c>
      <c r="P409" s="12">
        <f>IF(OR(M409="",M409=0),"",(M409-L409)/M409)</f>
        <v/>
      </c>
      <c r="Q409" s="13">
        <f>IF(OR(M409="",L409=0,L409=""),"",M409/L409)</f>
        <v/>
      </c>
      <c r="R409" s="11">
        <f>IF(M409="","",M409*1.055)</f>
        <v/>
      </c>
      <c r="S409" s="14" t="n"/>
      <c r="T409" s="15" t="n"/>
    </row>
    <row r="410">
      <c r="A410" s="6" t="inlineStr">
        <is>
          <t>PROD-0561</t>
        </is>
      </c>
      <c r="B410" s="6" t="inlineStr">
        <is>
          <t>BEURRE SALÉ</t>
        </is>
      </c>
      <c r="C410" s="6" t="inlineStr">
        <is>
          <t>CONFISERIE</t>
        </is>
      </c>
      <c r="D410" s="6" t="inlineStr">
        <is>
          <t>CARAMEL</t>
        </is>
      </c>
      <c r="E410" s="6" t="inlineStr">
        <is>
          <t>PREMIUM</t>
        </is>
      </c>
      <c r="F410" s="6" t="inlineStr">
        <is>
          <t>CARAMELS D'ISIGNY</t>
        </is>
      </c>
      <c r="G410" s="6" t="inlineStr">
        <is>
          <t>CARAMELS D'ISIGNY</t>
        </is>
      </c>
      <c r="H410" s="6" t="inlineStr">
        <is>
          <t>1KG</t>
        </is>
      </c>
      <c r="I410" s="6" t="inlineStr">
        <is>
          <t>1000 g</t>
        </is>
      </c>
      <c r="J410" s="6" t="inlineStr">
        <is>
          <t>NON</t>
        </is>
      </c>
      <c r="K410" s="7" t="inlineStr">
        <is>
          <t>20 %</t>
        </is>
      </c>
      <c r="L410" s="8" t="n">
        <v>16.7</v>
      </c>
      <c r="M410" s="9" t="n">
        <v>37</v>
      </c>
      <c r="N410" s="10" t="inlineStr">
        <is>
          <t>PROPOSÉ</t>
        </is>
      </c>
      <c r="O410" s="11">
        <f>IF(M410="","",M410-L410)</f>
        <v/>
      </c>
      <c r="P410" s="12">
        <f>IF(OR(M410="",M410=0),"",(M410-L410)/M410)</f>
        <v/>
      </c>
      <c r="Q410" s="13">
        <f>IF(OR(M410="",L410=0,L410=""),"",M410/L410)</f>
        <v/>
      </c>
      <c r="R410" s="11">
        <f>IF(M410="","",M410*1.2)</f>
        <v/>
      </c>
      <c r="S410" s="14" t="n"/>
      <c r="T410" s="15" t="n"/>
    </row>
    <row r="411">
      <c r="A411" s="16" t="inlineStr">
        <is>
          <t>PROD-0562</t>
        </is>
      </c>
      <c r="B411" s="16" t="inlineStr">
        <is>
          <t>FONDANTS BEURRE SALÉ</t>
        </is>
      </c>
      <c r="C411" s="16" t="inlineStr">
        <is>
          <t>CONFISERIE</t>
        </is>
      </c>
      <c r="D411" s="16" t="inlineStr">
        <is>
          <t>CARAMEL</t>
        </is>
      </c>
      <c r="E411" s="16" t="inlineStr">
        <is>
          <t>PREMIUM</t>
        </is>
      </c>
      <c r="F411" s="16" t="inlineStr">
        <is>
          <t>CARAMELS D'ISIGNY</t>
        </is>
      </c>
      <c r="G411" s="16" t="inlineStr">
        <is>
          <t>CARAMELS D'ISIGNY</t>
        </is>
      </c>
      <c r="H411" s="16" t="inlineStr">
        <is>
          <t>1KG</t>
        </is>
      </c>
      <c r="I411" s="16" t="inlineStr">
        <is>
          <t>1000 g</t>
        </is>
      </c>
      <c r="J411" s="16" t="inlineStr">
        <is>
          <t>NON</t>
        </is>
      </c>
      <c r="K411" s="17" t="inlineStr">
        <is>
          <t>20 %</t>
        </is>
      </c>
      <c r="L411" s="18" t="n">
        <v>16.7</v>
      </c>
      <c r="M411" s="9" t="n">
        <v>37</v>
      </c>
      <c r="N411" s="10" t="inlineStr">
        <is>
          <t>PROPOSÉ</t>
        </is>
      </c>
      <c r="O411" s="11">
        <f>IF(M411="","",M411-L411)</f>
        <v/>
      </c>
      <c r="P411" s="12">
        <f>IF(OR(M411="",M411=0),"",(M411-L411)/M411)</f>
        <v/>
      </c>
      <c r="Q411" s="13">
        <f>IF(OR(M411="",L411=0,L411=""),"",M411/L411)</f>
        <v/>
      </c>
      <c r="R411" s="11">
        <f>IF(M411="","",M411*1.2)</f>
        <v/>
      </c>
      <c r="S411" s="14" t="n"/>
      <c r="T411" s="15" t="n"/>
    </row>
    <row r="412">
      <c r="A412" s="6" t="inlineStr">
        <is>
          <t>PROD-0563</t>
        </is>
      </c>
      <c r="B412" s="6" t="inlineStr">
        <is>
          <t>ASSORTIMENT FONDANTS</t>
        </is>
      </c>
      <c r="C412" s="6" t="inlineStr">
        <is>
          <t>CONFISERIE</t>
        </is>
      </c>
      <c r="D412" s="6" t="inlineStr">
        <is>
          <t>CARAMEL</t>
        </is>
      </c>
      <c r="E412" s="6" t="inlineStr">
        <is>
          <t>PREMIUM</t>
        </is>
      </c>
      <c r="F412" s="6" t="inlineStr">
        <is>
          <t>CARAMELS D'ISIGNY</t>
        </is>
      </c>
      <c r="G412" s="6" t="inlineStr">
        <is>
          <t>CARAMELS D'ISIGNY</t>
        </is>
      </c>
      <c r="H412" s="6" t="inlineStr">
        <is>
          <t>1KG</t>
        </is>
      </c>
      <c r="I412" s="6" t="inlineStr">
        <is>
          <t>1000 g</t>
        </is>
      </c>
      <c r="J412" s="6" t="inlineStr">
        <is>
          <t>NON</t>
        </is>
      </c>
      <c r="K412" s="7" t="inlineStr">
        <is>
          <t>20 %</t>
        </is>
      </c>
      <c r="L412" s="8" t="n">
        <v>16.7</v>
      </c>
      <c r="M412" s="9" t="n">
        <v>37</v>
      </c>
      <c r="N412" s="10" t="inlineStr">
        <is>
          <t>PROPOSÉ</t>
        </is>
      </c>
      <c r="O412" s="11">
        <f>IF(M412="","",M412-L412)</f>
        <v/>
      </c>
      <c r="P412" s="12">
        <f>IF(OR(M412="",M412=0),"",(M412-L412)/M412)</f>
        <v/>
      </c>
      <c r="Q412" s="13">
        <f>IF(OR(M412="",L412=0,L412=""),"",M412/L412)</f>
        <v/>
      </c>
      <c r="R412" s="11">
        <f>IF(M412="","",M412*1.2)</f>
        <v/>
      </c>
      <c r="S412" s="14" t="n"/>
      <c r="T412" s="15" t="n"/>
    </row>
    <row r="413">
      <c r="A413" s="16" t="inlineStr">
        <is>
          <t>PROD-0564</t>
        </is>
      </c>
      <c r="B413" s="16" t="inlineStr">
        <is>
          <t>ASSORTIMENT NORMANDIE</t>
        </is>
      </c>
      <c r="C413" s="16" t="inlineStr">
        <is>
          <t>CONFISERIE</t>
        </is>
      </c>
      <c r="D413" s="16" t="inlineStr">
        <is>
          <t>CARAMEL</t>
        </is>
      </c>
      <c r="E413" s="16" t="inlineStr">
        <is>
          <t>PREMIUM</t>
        </is>
      </c>
      <c r="F413" s="16" t="inlineStr">
        <is>
          <t>CARAMELS D'ISIGNY</t>
        </is>
      </c>
      <c r="G413" s="16" t="inlineStr">
        <is>
          <t>CARAMELS D'ISIGNY</t>
        </is>
      </c>
      <c r="H413" s="16" t="inlineStr">
        <is>
          <t>1KG</t>
        </is>
      </c>
      <c r="I413" s="16" t="inlineStr">
        <is>
          <t>1000 g</t>
        </is>
      </c>
      <c r="J413" s="16" t="inlineStr">
        <is>
          <t>NON</t>
        </is>
      </c>
      <c r="K413" s="17" t="inlineStr">
        <is>
          <t>20 %</t>
        </is>
      </c>
      <c r="L413" s="18" t="n">
        <v>16.7</v>
      </c>
      <c r="M413" s="9" t="n">
        <v>37</v>
      </c>
      <c r="N413" s="10" t="inlineStr">
        <is>
          <t>PROPOSÉ</t>
        </is>
      </c>
      <c r="O413" s="11">
        <f>IF(M413="","",M413-L413)</f>
        <v/>
      </c>
      <c r="P413" s="12">
        <f>IF(OR(M413="",M413=0),"",(M413-L413)/M413)</f>
        <v/>
      </c>
      <c r="Q413" s="13">
        <f>IF(OR(M413="",L413=0,L413=""),"",M413/L413)</f>
        <v/>
      </c>
      <c r="R413" s="11">
        <f>IF(M413="","",M413*1.2)</f>
        <v/>
      </c>
      <c r="S413" s="14" t="n"/>
      <c r="T413" s="15" t="n"/>
    </row>
    <row r="414">
      <c r="A414" s="6" t="inlineStr">
        <is>
          <t>PROD-0565</t>
        </is>
      </c>
      <c r="B414" s="6" t="inlineStr">
        <is>
          <t>ASSORTIMENT 9 FRUITS</t>
        </is>
      </c>
      <c r="C414" s="6" t="inlineStr">
        <is>
          <t>CONFISERIE</t>
        </is>
      </c>
      <c r="D414" s="6" t="inlineStr">
        <is>
          <t>CARAMEL</t>
        </is>
      </c>
      <c r="E414" s="6" t="inlineStr">
        <is>
          <t>PREMIUM</t>
        </is>
      </c>
      <c r="F414" s="6" t="inlineStr">
        <is>
          <t>CARAMELS D'ISIGNY</t>
        </is>
      </c>
      <c r="G414" s="6" t="inlineStr">
        <is>
          <t>CARAMELS D'ISIGNY</t>
        </is>
      </c>
      <c r="H414" s="6" t="inlineStr">
        <is>
          <t>1KG</t>
        </is>
      </c>
      <c r="I414" s="6" t="inlineStr">
        <is>
          <t>1000 g</t>
        </is>
      </c>
      <c r="J414" s="6" t="inlineStr">
        <is>
          <t>NON</t>
        </is>
      </c>
      <c r="K414" s="7" t="inlineStr">
        <is>
          <t>20 %</t>
        </is>
      </c>
      <c r="L414" s="8" t="n">
        <v>16.7</v>
      </c>
      <c r="M414" s="9" t="n">
        <v>37</v>
      </c>
      <c r="N414" s="10" t="inlineStr">
        <is>
          <t>PROPOSÉ</t>
        </is>
      </c>
      <c r="O414" s="11">
        <f>IF(M414="","",M414-L414)</f>
        <v/>
      </c>
      <c r="P414" s="12">
        <f>IF(OR(M414="",M414=0),"",(M414-L414)/M414)</f>
        <v/>
      </c>
      <c r="Q414" s="13">
        <f>IF(OR(M414="",L414=0,L414=""),"",M414/L414)</f>
        <v/>
      </c>
      <c r="R414" s="11">
        <f>IF(M414="","",M414*1.2)</f>
        <v/>
      </c>
      <c r="S414" s="14" t="n"/>
      <c r="T414" s="15" t="n"/>
    </row>
    <row r="415">
      <c r="A415" s="16" t="inlineStr">
        <is>
          <t>PROD-0566</t>
        </is>
      </c>
      <c r="B415" s="16" t="inlineStr">
        <is>
          <t>ASSORTIMENT TRADITION</t>
        </is>
      </c>
      <c r="C415" s="16" t="inlineStr">
        <is>
          <t>CONFISERIE</t>
        </is>
      </c>
      <c r="D415" s="16" t="inlineStr">
        <is>
          <t>CARAMEL</t>
        </is>
      </c>
      <c r="E415" s="16" t="inlineStr">
        <is>
          <t>PREMIUM</t>
        </is>
      </c>
      <c r="F415" s="16" t="inlineStr">
        <is>
          <t>CARAMELS D'ISIGNY</t>
        </is>
      </c>
      <c r="G415" s="16" t="inlineStr">
        <is>
          <t>CARAMELS D'ISIGNY</t>
        </is>
      </c>
      <c r="H415" s="16" t="inlineStr">
        <is>
          <t>1KG</t>
        </is>
      </c>
      <c r="I415" s="16" t="inlineStr">
        <is>
          <t>1000 g</t>
        </is>
      </c>
      <c r="J415" s="16" t="inlineStr">
        <is>
          <t>NON</t>
        </is>
      </c>
      <c r="K415" s="17" t="inlineStr">
        <is>
          <t>20 %</t>
        </is>
      </c>
      <c r="L415" s="18" t="n">
        <v>16.7</v>
      </c>
      <c r="M415" s="9" t="n">
        <v>37</v>
      </c>
      <c r="N415" s="10" t="inlineStr">
        <is>
          <t>PROPOSÉ</t>
        </is>
      </c>
      <c r="O415" s="11">
        <f>IF(M415="","",M415-L415)</f>
        <v/>
      </c>
      <c r="P415" s="12">
        <f>IF(OR(M415="",M415=0),"",(M415-L415)/M415)</f>
        <v/>
      </c>
      <c r="Q415" s="13">
        <f>IF(OR(M415="",L415=0,L415=""),"",M415/L415)</f>
        <v/>
      </c>
      <c r="R415" s="11">
        <f>IF(M415="","",M415*1.2)</f>
        <v/>
      </c>
      <c r="S415" s="14" t="n"/>
      <c r="T415" s="15" t="n"/>
    </row>
    <row r="416">
      <c r="A416" s="6" t="inlineStr">
        <is>
          <t>PROD-0499</t>
        </is>
      </c>
      <c r="B416" s="6" t="inlineStr">
        <is>
          <t>Boite prestige 200gr</t>
        </is>
      </c>
      <c r="C416" s="6" t="inlineStr">
        <is>
          <t>CONFISERIE</t>
        </is>
      </c>
      <c r="D416" s="6" t="inlineStr">
        <is>
          <t>BONBON_ET_CONFISERIE</t>
        </is>
      </c>
      <c r="E416" s="6" t="inlineStr">
        <is>
          <t>PREMIUM</t>
        </is>
      </c>
      <c r="F416" s="6" t="inlineStr">
        <is>
          <t>CROCAEN'T</t>
        </is>
      </c>
      <c r="G416" s="6" t="inlineStr">
        <is>
          <t>NORMAND DIRECT TERROIR</t>
        </is>
      </c>
      <c r="H416" s="6" t="inlineStr">
        <is>
          <t>billes chocolatées</t>
        </is>
      </c>
      <c r="I416" s="6" t="inlineStr">
        <is>
          <t>200 g</t>
        </is>
      </c>
      <c r="J416" s="6" t="inlineStr">
        <is>
          <t>NON</t>
        </is>
      </c>
      <c r="K416" s="7" t="inlineStr">
        <is>
          <t>5.5 %</t>
        </is>
      </c>
      <c r="L416" s="8" t="n">
        <v>14.36</v>
      </c>
      <c r="M416" s="9" t="n">
        <v>31.5</v>
      </c>
      <c r="N416" s="10" t="inlineStr">
        <is>
          <t>PROPOSÉ</t>
        </is>
      </c>
      <c r="O416" s="11">
        <f>IF(M416="","",M416-L416)</f>
        <v/>
      </c>
      <c r="P416" s="12">
        <f>IF(OR(M416="",M416=0),"",(M416-L416)/M416)</f>
        <v/>
      </c>
      <c r="Q416" s="13">
        <f>IF(OR(M416="",L416=0,L416=""),"",M416/L416)</f>
        <v/>
      </c>
      <c r="R416" s="11">
        <f>IF(M416="","",M416*1.055)</f>
        <v/>
      </c>
      <c r="S416" s="14" t="n"/>
      <c r="T416" s="15" t="n"/>
    </row>
    <row r="417">
      <c r="A417" s="16" t="inlineStr">
        <is>
          <t>PROD-0560</t>
        </is>
      </c>
      <c r="B417" s="16" t="inlineStr">
        <is>
          <t>CALENDRIER DE L'AVENT (Décor 09/2026)</t>
        </is>
      </c>
      <c r="C417" s="16" t="inlineStr">
        <is>
          <t>CONFISERIE</t>
        </is>
      </c>
      <c r="D417" s="16" t="inlineStr">
        <is>
          <t>CARAMEL</t>
        </is>
      </c>
      <c r="E417" s="16" t="inlineStr">
        <is>
          <t>PREMIUM</t>
        </is>
      </c>
      <c r="F417" s="16" t="inlineStr">
        <is>
          <t>CARAMELS D'ISIGNY</t>
        </is>
      </c>
      <c r="G417" s="16" t="inlineStr">
        <is>
          <t>CARAMELS D'ISIGNY</t>
        </is>
      </c>
      <c r="H417" s="16" t="inlineStr">
        <is>
          <t>200G</t>
        </is>
      </c>
      <c r="I417" s="16" t="inlineStr">
        <is>
          <t>200 g</t>
        </is>
      </c>
      <c r="J417" s="16" t="inlineStr">
        <is>
          <t>NON</t>
        </is>
      </c>
      <c r="K417" s="17" t="inlineStr">
        <is>
          <t>20 %</t>
        </is>
      </c>
      <c r="L417" s="18" t="n">
        <v>13.3</v>
      </c>
      <c r="M417" s="9" t="n">
        <v>29.5</v>
      </c>
      <c r="N417" s="10" t="inlineStr">
        <is>
          <t>PROPOSÉ</t>
        </is>
      </c>
      <c r="O417" s="11">
        <f>IF(M417="","",M417-L417)</f>
        <v/>
      </c>
      <c r="P417" s="12">
        <f>IF(OR(M417="",M417=0),"",(M417-L417)/M417)</f>
        <v/>
      </c>
      <c r="Q417" s="13">
        <f>IF(OR(M417="",L417=0,L417=""),"",M417/L417)</f>
        <v/>
      </c>
      <c r="R417" s="11">
        <f>IF(M417="","",M417*1.2)</f>
        <v/>
      </c>
      <c r="S417" s="14" t="n"/>
      <c r="T417" s="15" t="n"/>
    </row>
    <row r="418">
      <c r="A418" s="6" t="inlineStr">
        <is>
          <t>PROD-0656</t>
        </is>
      </c>
      <c r="B418" s="6" t="inlineStr">
        <is>
          <t>SUCETTES x100</t>
        </is>
      </c>
      <c r="C418" s="6" t="inlineStr">
        <is>
          <t>CONFISERIE</t>
        </is>
      </c>
      <c r="D418" s="6" t="inlineStr">
        <is>
          <t>BONBON_ET_CONFISERIE</t>
        </is>
      </c>
      <c r="E418" s="6" t="inlineStr">
        <is>
          <t>PRESTIGE</t>
        </is>
      </c>
      <c r="F418" s="6" t="inlineStr">
        <is>
          <t>CARAMELS D'ISIGNY</t>
        </is>
      </c>
      <c r="G418" s="6" t="inlineStr">
        <is>
          <t>CARAMELS D'ISIGNY</t>
        </is>
      </c>
      <c r="H418" s="6" t="inlineStr">
        <is>
          <t>1.3KG</t>
        </is>
      </c>
      <c r="I418" s="6" t="inlineStr">
        <is>
          <t>1300 g</t>
        </is>
      </c>
      <c r="J418" s="6" t="inlineStr">
        <is>
          <t>NON</t>
        </is>
      </c>
      <c r="K418" s="7" t="inlineStr">
        <is>
          <t>20 %</t>
        </is>
      </c>
      <c r="L418" s="8" t="n">
        <v>33.21</v>
      </c>
      <c r="M418" s="9" t="n">
        <v>67.5</v>
      </c>
      <c r="N418" s="10" t="inlineStr">
        <is>
          <t>PROPOSÉ</t>
        </is>
      </c>
      <c r="O418" s="11">
        <f>IF(M418="","",M418-L418)</f>
        <v/>
      </c>
      <c r="P418" s="12">
        <f>IF(OR(M418="",M418=0),"",(M418-L418)/M418)</f>
        <v/>
      </c>
      <c r="Q418" s="13">
        <f>IF(OR(M418="",L418=0,L418=""),"",M418/L418)</f>
        <v/>
      </c>
      <c r="R418" s="11">
        <f>IF(M418="","",M418*1.2)</f>
        <v/>
      </c>
      <c r="S418" s="14" t="n"/>
      <c r="T418" s="15" t="n"/>
    </row>
    <row r="419">
      <c r="A419" s="16" t="inlineStr">
        <is>
          <t>PROD-0547</t>
        </is>
      </c>
      <c r="B419" s="16" t="inlineStr">
        <is>
          <t>ASSORTIMENT NORMANDIE</t>
        </is>
      </c>
      <c r="C419" s="16" t="inlineStr">
        <is>
          <t>CONFISERIE</t>
        </is>
      </c>
      <c r="D419" s="16" t="inlineStr">
        <is>
          <t>CARAMEL</t>
        </is>
      </c>
      <c r="E419" s="16" t="inlineStr">
        <is>
          <t>PRESTIGE</t>
        </is>
      </c>
      <c r="F419" s="16" t="inlineStr">
        <is>
          <t>CARAMELS D'ISIGNY</t>
        </is>
      </c>
      <c r="G419" s="16" t="inlineStr">
        <is>
          <t>CARAMELS D'ISIGNY</t>
        </is>
      </c>
      <c r="H419" s="16" t="inlineStr">
        <is>
          <t>2KG</t>
        </is>
      </c>
      <c r="I419" s="16" t="inlineStr">
        <is>
          <t>2000 g</t>
        </is>
      </c>
      <c r="J419" s="16" t="inlineStr">
        <is>
          <t>NON</t>
        </is>
      </c>
      <c r="K419" s="17" t="inlineStr">
        <is>
          <t>20 %</t>
        </is>
      </c>
      <c r="L419" s="18" t="n">
        <v>29.5</v>
      </c>
      <c r="M419" s="9" t="n">
        <v>60</v>
      </c>
      <c r="N419" s="10" t="inlineStr">
        <is>
          <t>PROPOSÉ</t>
        </is>
      </c>
      <c r="O419" s="11">
        <f>IF(M419="","",M419-L419)</f>
        <v/>
      </c>
      <c r="P419" s="12">
        <f>IF(OR(M419="",M419=0),"",(M419-L419)/M419)</f>
        <v/>
      </c>
      <c r="Q419" s="13">
        <f>IF(OR(M419="",L419=0,L419=""),"",M419/L419)</f>
        <v/>
      </c>
      <c r="R419" s="11">
        <f>IF(M419="","",M419*1.2)</f>
        <v/>
      </c>
      <c r="S419" s="14" t="n"/>
      <c r="T419" s="15" t="n"/>
    </row>
    <row r="420">
      <c r="A420" s="6" t="inlineStr">
        <is>
          <t>PROD-0548</t>
        </is>
      </c>
      <c r="B420" s="6" t="inlineStr">
        <is>
          <t>BEURRE SALÉ</t>
        </is>
      </c>
      <c r="C420" s="6" t="inlineStr">
        <is>
          <t>CONFISERIE</t>
        </is>
      </c>
      <c r="D420" s="6" t="inlineStr">
        <is>
          <t>CARAMEL</t>
        </is>
      </c>
      <c r="E420" s="6" t="inlineStr">
        <is>
          <t>PRESTIGE</t>
        </is>
      </c>
      <c r="F420" s="6" t="inlineStr">
        <is>
          <t>CARAMELS D'ISIGNY</t>
        </is>
      </c>
      <c r="G420" s="6" t="inlineStr">
        <is>
          <t>CARAMELS D'ISIGNY</t>
        </is>
      </c>
      <c r="H420" s="6" t="inlineStr">
        <is>
          <t>2KG</t>
        </is>
      </c>
      <c r="I420" s="6" t="inlineStr">
        <is>
          <t>2000 g</t>
        </is>
      </c>
      <c r="J420" s="6" t="inlineStr">
        <is>
          <t>NON</t>
        </is>
      </c>
      <c r="K420" s="7" t="inlineStr">
        <is>
          <t>20 %</t>
        </is>
      </c>
      <c r="L420" s="8" t="n">
        <v>29.5</v>
      </c>
      <c r="M420" s="9" t="n">
        <v>60</v>
      </c>
      <c r="N420" s="10" t="inlineStr">
        <is>
          <t>PROPOSÉ</t>
        </is>
      </c>
      <c r="O420" s="11">
        <f>IF(M420="","",M420-L420)</f>
        <v/>
      </c>
      <c r="P420" s="12">
        <f>IF(OR(M420="",M420=0),"",(M420-L420)/M420)</f>
        <v/>
      </c>
      <c r="Q420" s="13">
        <f>IF(OR(M420="",L420=0,L420=""),"",M420/L420)</f>
        <v/>
      </c>
      <c r="R420" s="11">
        <f>IF(M420="","",M420*1.2)</f>
        <v/>
      </c>
      <c r="S420" s="14" t="n"/>
      <c r="T420" s="15" t="n"/>
    </row>
    <row r="421">
      <c r="A421" s="16" t="inlineStr">
        <is>
          <t>PROD-0549</t>
        </is>
      </c>
      <c r="B421" s="16" t="inlineStr">
        <is>
          <t>FONDANT BEURRE SALÉ</t>
        </is>
      </c>
      <c r="C421" s="16" t="inlineStr">
        <is>
          <t>CONFISERIE</t>
        </is>
      </c>
      <c r="D421" s="16" t="inlineStr">
        <is>
          <t>CARAMEL</t>
        </is>
      </c>
      <c r="E421" s="16" t="inlineStr">
        <is>
          <t>PRESTIGE</t>
        </is>
      </c>
      <c r="F421" s="16" t="inlineStr">
        <is>
          <t>CARAMELS D'ISIGNY</t>
        </is>
      </c>
      <c r="G421" s="16" t="inlineStr">
        <is>
          <t>CARAMELS D'ISIGNY</t>
        </is>
      </c>
      <c r="H421" s="16" t="inlineStr">
        <is>
          <t>2KG</t>
        </is>
      </c>
      <c r="I421" s="16" t="inlineStr">
        <is>
          <t>2000 g</t>
        </is>
      </c>
      <c r="J421" s="16" t="inlineStr">
        <is>
          <t>NON</t>
        </is>
      </c>
      <c r="K421" s="17" t="inlineStr">
        <is>
          <t>20 %</t>
        </is>
      </c>
      <c r="L421" s="18" t="n">
        <v>29.5</v>
      </c>
      <c r="M421" s="9" t="n">
        <v>60</v>
      </c>
      <c r="N421" s="10" t="inlineStr">
        <is>
          <t>PROPOSÉ</t>
        </is>
      </c>
      <c r="O421" s="11">
        <f>IF(M421="","",M421-L421)</f>
        <v/>
      </c>
      <c r="P421" s="12">
        <f>IF(OR(M421="",M421=0),"",(M421-L421)/M421)</f>
        <v/>
      </c>
      <c r="Q421" s="13">
        <f>IF(OR(M421="",L421=0,L421=""),"",M421/L421)</f>
        <v/>
      </c>
      <c r="R421" s="11">
        <f>IF(M421="","",M421*1.2)</f>
        <v/>
      </c>
      <c r="S421" s="14" t="n"/>
      <c r="T421" s="15" t="n"/>
    </row>
    <row r="422">
      <c r="A422" s="6" t="inlineStr">
        <is>
          <t>PROD-0550</t>
        </is>
      </c>
      <c r="B422" s="6" t="inlineStr">
        <is>
          <t>ASSORTIMENT FONDANTS</t>
        </is>
      </c>
      <c r="C422" s="6" t="inlineStr">
        <is>
          <t>CONFISERIE</t>
        </is>
      </c>
      <c r="D422" s="6" t="inlineStr">
        <is>
          <t>CARAMEL</t>
        </is>
      </c>
      <c r="E422" s="6" t="inlineStr">
        <is>
          <t>PRESTIGE</t>
        </is>
      </c>
      <c r="F422" s="6" t="inlineStr">
        <is>
          <t>CARAMELS D'ISIGNY</t>
        </is>
      </c>
      <c r="G422" s="6" t="inlineStr">
        <is>
          <t>CARAMELS D'ISIGNY</t>
        </is>
      </c>
      <c r="H422" s="6" t="inlineStr">
        <is>
          <t>2KG</t>
        </is>
      </c>
      <c r="I422" s="6" t="inlineStr">
        <is>
          <t>2000 g</t>
        </is>
      </c>
      <c r="J422" s="6" t="inlineStr">
        <is>
          <t>NON</t>
        </is>
      </c>
      <c r="K422" s="7" t="inlineStr">
        <is>
          <t>20 %</t>
        </is>
      </c>
      <c r="L422" s="8" t="n">
        <v>29.5</v>
      </c>
      <c r="M422" s="9" t="n">
        <v>60</v>
      </c>
      <c r="N422" s="10" t="inlineStr">
        <is>
          <t>PROPOSÉ</t>
        </is>
      </c>
      <c r="O422" s="11">
        <f>IF(M422="","",M422-L422)</f>
        <v/>
      </c>
      <c r="P422" s="12">
        <f>IF(OR(M422="",M422=0),"",(M422-L422)/M422)</f>
        <v/>
      </c>
      <c r="Q422" s="13">
        <f>IF(OR(M422="",L422=0,L422=""),"",M422/L422)</f>
        <v/>
      </c>
      <c r="R422" s="11">
        <f>IF(M422="","",M422*1.2)</f>
        <v/>
      </c>
      <c r="S422" s="14" t="n"/>
      <c r="T422" s="15" t="n"/>
    </row>
    <row r="423">
      <c r="A423" s="16" t="inlineStr">
        <is>
          <t>PROD-0419</t>
        </is>
      </c>
      <c r="B423" s="16" t="inlineStr">
        <is>
          <t>Savon Bebe hypoallergenique beurre karité</t>
        </is>
      </c>
      <c r="C423" s="16" t="inlineStr">
        <is>
          <t>COSMETIQUE_BIEN_ETRE</t>
        </is>
      </c>
      <c r="D423" s="16" t="inlineStr">
        <is>
          <t>SOIN</t>
        </is>
      </c>
      <c r="E423" s="16" t="inlineStr">
        <is>
          <t>ESSENTIEL</t>
        </is>
      </c>
      <c r="F423" s="16" t="inlineStr">
        <is>
          <t>LISANE</t>
        </is>
      </c>
      <c r="G423" s="16" t="inlineStr">
        <is>
          <t>NORMAND DIRECT TERROIR</t>
        </is>
      </c>
      <c r="H423" s="16" t="inlineStr"/>
      <c r="I423" s="16" t="inlineStr"/>
      <c r="J423" s="16" t="inlineStr">
        <is>
          <t>NON</t>
        </is>
      </c>
      <c r="K423" s="17" t="inlineStr">
        <is>
          <t>20 %</t>
        </is>
      </c>
      <c r="L423" s="18" t="n">
        <v>3.5</v>
      </c>
      <c r="M423" s="9" t="n">
        <v>8.800000000000001</v>
      </c>
      <c r="N423" s="10" t="inlineStr">
        <is>
          <t>PROPOSÉ</t>
        </is>
      </c>
      <c r="O423" s="11">
        <f>IF(M423="","",M423-L423)</f>
        <v/>
      </c>
      <c r="P423" s="12">
        <f>IF(OR(M423="",M423=0),"",(M423-L423)/M423)</f>
        <v/>
      </c>
      <c r="Q423" s="13">
        <f>IF(OR(M423="",L423=0,L423=""),"",M423/L423)</f>
        <v/>
      </c>
      <c r="R423" s="11">
        <f>IF(M423="","",M423*1.2)</f>
        <v/>
      </c>
      <c r="S423" s="14" t="n"/>
      <c r="T423" s="15" t="n"/>
    </row>
    <row r="424">
      <c r="A424" s="6" t="inlineStr">
        <is>
          <t>PROD-0421</t>
        </is>
      </c>
      <c r="B424" s="6" t="inlineStr">
        <is>
          <t>Savon 100 grs lait</t>
        </is>
      </c>
      <c r="C424" s="6" t="inlineStr">
        <is>
          <t>COSMETIQUE_BIEN_ETRE</t>
        </is>
      </c>
      <c r="D424" s="6" t="inlineStr">
        <is>
          <t>SOIN</t>
        </is>
      </c>
      <c r="E424" s="6" t="inlineStr">
        <is>
          <t>ESSENTIEL</t>
        </is>
      </c>
      <c r="F424" s="6" t="inlineStr">
        <is>
          <t>LISANE</t>
        </is>
      </c>
      <c r="G424" s="6" t="inlineStr">
        <is>
          <t>NORMAND DIRECT TERROIR</t>
        </is>
      </c>
      <c r="H424" s="6" t="inlineStr"/>
      <c r="I424" s="6" t="inlineStr">
        <is>
          <t>100 g</t>
        </is>
      </c>
      <c r="J424" s="6" t="inlineStr">
        <is>
          <t>NON</t>
        </is>
      </c>
      <c r="K424" s="7" t="inlineStr">
        <is>
          <t>20 %</t>
        </is>
      </c>
      <c r="L424" s="8" t="n">
        <v>2.9</v>
      </c>
      <c r="M424" s="9" t="n">
        <v>8</v>
      </c>
      <c r="N424" s="10" t="inlineStr">
        <is>
          <t>PROPOSÉ</t>
        </is>
      </c>
      <c r="O424" s="11">
        <f>IF(M424="","",M424-L424)</f>
        <v/>
      </c>
      <c r="P424" s="12">
        <f>IF(OR(M424="",M424=0),"",(M424-L424)/M424)</f>
        <v/>
      </c>
      <c r="Q424" s="13">
        <f>IF(OR(M424="",L424=0,L424=""),"",M424/L424)</f>
        <v/>
      </c>
      <c r="R424" s="11">
        <f>IF(M424="","",M424*1.2)</f>
        <v/>
      </c>
      <c r="S424" s="14" t="n"/>
      <c r="T424" s="15" t="n"/>
    </row>
    <row r="425">
      <c r="A425" s="16" t="inlineStr">
        <is>
          <t>PROD-0422</t>
        </is>
      </c>
      <c r="B425" s="16" t="inlineStr">
        <is>
          <t>Savon 100 grs amande douce</t>
        </is>
      </c>
      <c r="C425" s="16" t="inlineStr">
        <is>
          <t>COSMETIQUE_BIEN_ETRE</t>
        </is>
      </c>
      <c r="D425" s="16" t="inlineStr">
        <is>
          <t>SOIN</t>
        </is>
      </c>
      <c r="E425" s="16" t="inlineStr">
        <is>
          <t>ESSENTIEL</t>
        </is>
      </c>
      <c r="F425" s="16" t="inlineStr">
        <is>
          <t>LISANE</t>
        </is>
      </c>
      <c r="G425" s="16" t="inlineStr">
        <is>
          <t>NORMAND DIRECT TERROIR</t>
        </is>
      </c>
      <c r="H425" s="16" t="inlineStr"/>
      <c r="I425" s="16" t="inlineStr">
        <is>
          <t>100 g</t>
        </is>
      </c>
      <c r="J425" s="16" t="inlineStr">
        <is>
          <t>NON</t>
        </is>
      </c>
      <c r="K425" s="17" t="inlineStr">
        <is>
          <t>20 %</t>
        </is>
      </c>
      <c r="L425" s="18" t="n">
        <v>2.9</v>
      </c>
      <c r="M425" s="9" t="n">
        <v>8</v>
      </c>
      <c r="N425" s="10" t="inlineStr">
        <is>
          <t>PROPOSÉ</t>
        </is>
      </c>
      <c r="O425" s="11">
        <f>IF(M425="","",M425-L425)</f>
        <v/>
      </c>
      <c r="P425" s="12">
        <f>IF(OR(M425="",M425=0),"",(M425-L425)/M425)</f>
        <v/>
      </c>
      <c r="Q425" s="13">
        <f>IF(OR(M425="",L425=0,L425=""),"",M425/L425)</f>
        <v/>
      </c>
      <c r="R425" s="11">
        <f>IF(M425="","",M425*1.2)</f>
        <v/>
      </c>
      <c r="S425" s="14" t="n"/>
      <c r="T425" s="15" t="n"/>
    </row>
    <row r="426">
      <c r="A426" s="6" t="inlineStr">
        <is>
          <t>PROD-0423</t>
        </is>
      </c>
      <c r="B426" s="6" t="inlineStr">
        <is>
          <t>Savon 100 grs chèvrefeuille</t>
        </is>
      </c>
      <c r="C426" s="6" t="inlineStr">
        <is>
          <t>COSMETIQUE_BIEN_ETRE</t>
        </is>
      </c>
      <c r="D426" s="6" t="inlineStr">
        <is>
          <t>SOIN</t>
        </is>
      </c>
      <c r="E426" s="6" t="inlineStr">
        <is>
          <t>ESSENTIEL</t>
        </is>
      </c>
      <c r="F426" s="6" t="inlineStr">
        <is>
          <t>LISANE</t>
        </is>
      </c>
      <c r="G426" s="6" t="inlineStr">
        <is>
          <t>NORMAND DIRECT TERROIR</t>
        </is>
      </c>
      <c r="H426" s="6" t="inlineStr"/>
      <c r="I426" s="6" t="inlineStr">
        <is>
          <t>100 g</t>
        </is>
      </c>
      <c r="J426" s="6" t="inlineStr">
        <is>
          <t>NON</t>
        </is>
      </c>
      <c r="K426" s="7" t="inlineStr">
        <is>
          <t>20 %</t>
        </is>
      </c>
      <c r="L426" s="8" t="n">
        <v>2.9</v>
      </c>
      <c r="M426" s="9" t="n">
        <v>8</v>
      </c>
      <c r="N426" s="10" t="inlineStr">
        <is>
          <t>PROPOSÉ</t>
        </is>
      </c>
      <c r="O426" s="11">
        <f>IF(M426="","",M426-L426)</f>
        <v/>
      </c>
      <c r="P426" s="12">
        <f>IF(OR(M426="",M426=0),"",(M426-L426)/M426)</f>
        <v/>
      </c>
      <c r="Q426" s="13">
        <f>IF(OR(M426="",L426=0,L426=""),"",M426/L426)</f>
        <v/>
      </c>
      <c r="R426" s="11">
        <f>IF(M426="","",M426*1.2)</f>
        <v/>
      </c>
      <c r="S426" s="14" t="n"/>
      <c r="T426" s="15" t="n"/>
    </row>
    <row r="427">
      <c r="A427" s="16" t="inlineStr">
        <is>
          <t>PROD-0424</t>
        </is>
      </c>
      <c r="B427" s="16" t="inlineStr">
        <is>
          <t>Savon 100 grs miel</t>
        </is>
      </c>
      <c r="C427" s="16" t="inlineStr">
        <is>
          <t>COSMETIQUE_BIEN_ETRE</t>
        </is>
      </c>
      <c r="D427" s="16" t="inlineStr">
        <is>
          <t>SOIN</t>
        </is>
      </c>
      <c r="E427" s="16" t="inlineStr">
        <is>
          <t>ESSENTIEL</t>
        </is>
      </c>
      <c r="F427" s="16" t="inlineStr">
        <is>
          <t>LISANE</t>
        </is>
      </c>
      <c r="G427" s="16" t="inlineStr">
        <is>
          <t>NORMAND DIRECT TERROIR</t>
        </is>
      </c>
      <c r="H427" s="16" t="inlineStr"/>
      <c r="I427" s="16" t="inlineStr">
        <is>
          <t>100 g</t>
        </is>
      </c>
      <c r="J427" s="16" t="inlineStr">
        <is>
          <t>NON</t>
        </is>
      </c>
      <c r="K427" s="17" t="inlineStr">
        <is>
          <t>20 %</t>
        </is>
      </c>
      <c r="L427" s="18" t="n">
        <v>2.9</v>
      </c>
      <c r="M427" s="9" t="n">
        <v>8</v>
      </c>
      <c r="N427" s="10" t="inlineStr">
        <is>
          <t>PROPOSÉ</t>
        </is>
      </c>
      <c r="O427" s="11">
        <f>IF(M427="","",M427-L427)</f>
        <v/>
      </c>
      <c r="P427" s="12">
        <f>IF(OR(M427="",M427=0),"",(M427-L427)/M427)</f>
        <v/>
      </c>
      <c r="Q427" s="13">
        <f>IF(OR(M427="",L427=0,L427=""),"",M427/L427)</f>
        <v/>
      </c>
      <c r="R427" s="11">
        <f>IF(M427="","",M427*1.2)</f>
        <v/>
      </c>
      <c r="S427" s="14" t="n"/>
      <c r="T427" s="15" t="n"/>
    </row>
    <row r="428">
      <c r="A428" s="6" t="inlineStr">
        <is>
          <t>PROD-0425</t>
        </is>
      </c>
      <c r="B428" s="6" t="inlineStr">
        <is>
          <t>Savon 100 grs thé</t>
        </is>
      </c>
      <c r="C428" s="6" t="inlineStr">
        <is>
          <t>COSMETIQUE_BIEN_ETRE</t>
        </is>
      </c>
      <c r="D428" s="6" t="inlineStr">
        <is>
          <t>SOIN</t>
        </is>
      </c>
      <c r="E428" s="6" t="inlineStr">
        <is>
          <t>ESSENTIEL</t>
        </is>
      </c>
      <c r="F428" s="6" t="inlineStr">
        <is>
          <t>LISANE</t>
        </is>
      </c>
      <c r="G428" s="6" t="inlineStr">
        <is>
          <t>NORMAND DIRECT TERROIR</t>
        </is>
      </c>
      <c r="H428" s="6" t="inlineStr"/>
      <c r="I428" s="6" t="inlineStr">
        <is>
          <t>100 g</t>
        </is>
      </c>
      <c r="J428" s="6" t="inlineStr">
        <is>
          <t>NON</t>
        </is>
      </c>
      <c r="K428" s="7" t="inlineStr">
        <is>
          <t>20 %</t>
        </is>
      </c>
      <c r="L428" s="8" t="n">
        <v>2.9</v>
      </c>
      <c r="M428" s="9" t="n">
        <v>8</v>
      </c>
      <c r="N428" s="10" t="inlineStr">
        <is>
          <t>PROPOSÉ</t>
        </is>
      </c>
      <c r="O428" s="11">
        <f>IF(M428="","",M428-L428)</f>
        <v/>
      </c>
      <c r="P428" s="12">
        <f>IF(OR(M428="",M428=0),"",(M428-L428)/M428)</f>
        <v/>
      </c>
      <c r="Q428" s="13">
        <f>IF(OR(M428="",L428=0,L428=""),"",M428/L428)</f>
        <v/>
      </c>
      <c r="R428" s="11">
        <f>IF(M428="","",M428*1.2)</f>
        <v/>
      </c>
      <c r="S428" s="14" t="n"/>
      <c r="T428" s="15" t="n"/>
    </row>
    <row r="429">
      <c r="A429" s="16" t="inlineStr">
        <is>
          <t>PROD-0426</t>
        </is>
      </c>
      <c r="B429" s="16" t="inlineStr">
        <is>
          <t>Savon 100 grs marine</t>
        </is>
      </c>
      <c r="C429" s="16" t="inlineStr">
        <is>
          <t>COSMETIQUE_BIEN_ETRE</t>
        </is>
      </c>
      <c r="D429" s="16" t="inlineStr">
        <is>
          <t>SOIN</t>
        </is>
      </c>
      <c r="E429" s="16" t="inlineStr">
        <is>
          <t>ESSENTIEL</t>
        </is>
      </c>
      <c r="F429" s="16" t="inlineStr">
        <is>
          <t>LISANE</t>
        </is>
      </c>
      <c r="G429" s="16" t="inlineStr">
        <is>
          <t>NORMAND DIRECT TERROIR</t>
        </is>
      </c>
      <c r="H429" s="16" t="inlineStr"/>
      <c r="I429" s="16" t="inlineStr">
        <is>
          <t>100 g</t>
        </is>
      </c>
      <c r="J429" s="16" t="inlineStr">
        <is>
          <t>NON</t>
        </is>
      </c>
      <c r="K429" s="17" t="inlineStr">
        <is>
          <t>20 %</t>
        </is>
      </c>
      <c r="L429" s="18" t="n">
        <v>2.9</v>
      </c>
      <c r="M429" s="9" t="n">
        <v>8</v>
      </c>
      <c r="N429" s="10" t="inlineStr">
        <is>
          <t>PROPOSÉ</t>
        </is>
      </c>
      <c r="O429" s="11">
        <f>IF(M429="","",M429-L429)</f>
        <v/>
      </c>
      <c r="P429" s="12">
        <f>IF(OR(M429="",M429=0),"",(M429-L429)/M429)</f>
        <v/>
      </c>
      <c r="Q429" s="13">
        <f>IF(OR(M429="",L429=0,L429=""),"",M429/L429)</f>
        <v/>
      </c>
      <c r="R429" s="11">
        <f>IF(M429="","",M429*1.2)</f>
        <v/>
      </c>
      <c r="S429" s="14" t="n"/>
      <c r="T429" s="15" t="n"/>
    </row>
    <row r="430">
      <c r="A430" s="6" t="inlineStr">
        <is>
          <t>PROD-0427</t>
        </is>
      </c>
      <c r="B430" s="6" t="inlineStr">
        <is>
          <t>Savon 100 grs rose</t>
        </is>
      </c>
      <c r="C430" s="6" t="inlineStr">
        <is>
          <t>COSMETIQUE_BIEN_ETRE</t>
        </is>
      </c>
      <c r="D430" s="6" t="inlineStr">
        <is>
          <t>SOIN</t>
        </is>
      </c>
      <c r="E430" s="6" t="inlineStr">
        <is>
          <t>ESSENTIEL</t>
        </is>
      </c>
      <c r="F430" s="6" t="inlineStr">
        <is>
          <t>LISANE</t>
        </is>
      </c>
      <c r="G430" s="6" t="inlineStr">
        <is>
          <t>NORMAND DIRECT TERROIR</t>
        </is>
      </c>
      <c r="H430" s="6" t="inlineStr"/>
      <c r="I430" s="6" t="inlineStr">
        <is>
          <t>100 g</t>
        </is>
      </c>
      <c r="J430" s="6" t="inlineStr">
        <is>
          <t>NON</t>
        </is>
      </c>
      <c r="K430" s="7" t="inlineStr">
        <is>
          <t>20 %</t>
        </is>
      </c>
      <c r="L430" s="8" t="n">
        <v>2.9</v>
      </c>
      <c r="M430" s="9" t="n">
        <v>8</v>
      </c>
      <c r="N430" s="10" t="inlineStr">
        <is>
          <t>PROPOSÉ</t>
        </is>
      </c>
      <c r="O430" s="11">
        <f>IF(M430="","",M430-L430)</f>
        <v/>
      </c>
      <c r="P430" s="12">
        <f>IF(OR(M430="",M430=0),"",(M430-L430)/M430)</f>
        <v/>
      </c>
      <c r="Q430" s="13">
        <f>IF(OR(M430="",L430=0,L430=""),"",M430/L430)</f>
        <v/>
      </c>
      <c r="R430" s="11">
        <f>IF(M430="","",M430*1.2)</f>
        <v/>
      </c>
      <c r="S430" s="14" t="n"/>
      <c r="T430" s="15" t="n"/>
    </row>
    <row r="431">
      <c r="A431" s="16" t="inlineStr">
        <is>
          <t>PROD-0428</t>
        </is>
      </c>
      <c r="B431" s="16" t="inlineStr">
        <is>
          <t>Savon 100 grs fleur de pommier</t>
        </is>
      </c>
      <c r="C431" s="16" t="inlineStr">
        <is>
          <t>COSMETIQUE_BIEN_ETRE</t>
        </is>
      </c>
      <c r="D431" s="16" t="inlineStr">
        <is>
          <t>SOIN</t>
        </is>
      </c>
      <c r="E431" s="16" t="inlineStr">
        <is>
          <t>ESSENTIEL</t>
        </is>
      </c>
      <c r="F431" s="16" t="inlineStr">
        <is>
          <t>LISANE</t>
        </is>
      </c>
      <c r="G431" s="16" t="inlineStr">
        <is>
          <t>NORMAND DIRECT TERROIR</t>
        </is>
      </c>
      <c r="H431" s="16" t="inlineStr"/>
      <c r="I431" s="16" t="inlineStr">
        <is>
          <t>100 g</t>
        </is>
      </c>
      <c r="J431" s="16" t="inlineStr">
        <is>
          <t>NON</t>
        </is>
      </c>
      <c r="K431" s="17" t="inlineStr">
        <is>
          <t>20 %</t>
        </is>
      </c>
      <c r="L431" s="18" t="n">
        <v>2.9</v>
      </c>
      <c r="M431" s="9" t="n">
        <v>8</v>
      </c>
      <c r="N431" s="10" t="inlineStr">
        <is>
          <t>PROPOSÉ</t>
        </is>
      </c>
      <c r="O431" s="11">
        <f>IF(M431="","",M431-L431)</f>
        <v/>
      </c>
      <c r="P431" s="12">
        <f>IF(OR(M431="",M431=0),"",(M431-L431)/M431)</f>
        <v/>
      </c>
      <c r="Q431" s="13">
        <f>IF(OR(M431="",L431=0,L431=""),"",M431/L431)</f>
        <v/>
      </c>
      <c r="R431" s="11">
        <f>IF(M431="","",M431*1.2)</f>
        <v/>
      </c>
      <c r="S431" s="14" t="n"/>
      <c r="T431" s="15" t="n"/>
    </row>
    <row r="432">
      <c r="A432" s="6" t="inlineStr">
        <is>
          <t>PROD-0420</t>
        </is>
      </c>
      <c r="B432" s="6" t="inlineStr">
        <is>
          <t>Lait démaquillant parfum "fleur de pommier"</t>
        </is>
      </c>
      <c r="C432" s="6" t="inlineStr">
        <is>
          <t>COSMETIQUE_BIEN_ETRE</t>
        </is>
      </c>
      <c r="D432" s="6" t="inlineStr">
        <is>
          <t>SOIN</t>
        </is>
      </c>
      <c r="E432" s="6" t="inlineStr">
        <is>
          <t>SIGNATURE</t>
        </is>
      </c>
      <c r="F432" s="6" t="inlineStr">
        <is>
          <t>LISANE</t>
        </is>
      </c>
      <c r="G432" s="6" t="inlineStr">
        <is>
          <t>NORMAND DIRECT TERROIR</t>
        </is>
      </c>
      <c r="H432" s="6" t="inlineStr"/>
      <c r="I432" s="6" t="inlineStr"/>
      <c r="J432" s="6" t="inlineStr">
        <is>
          <t>NON</t>
        </is>
      </c>
      <c r="K432" s="7" t="inlineStr">
        <is>
          <t>20 %</t>
        </is>
      </c>
      <c r="L432" s="8" t="n">
        <v>8.5</v>
      </c>
      <c r="M432" s="9" t="n">
        <v>19.5</v>
      </c>
      <c r="N432" s="10" t="inlineStr">
        <is>
          <t>PROPOSÉ</t>
        </is>
      </c>
      <c r="O432" s="11">
        <f>IF(M432="","",M432-L432)</f>
        <v/>
      </c>
      <c r="P432" s="12">
        <f>IF(OR(M432="",M432=0),"",(M432-L432)/M432)</f>
        <v/>
      </c>
      <c r="Q432" s="13">
        <f>IF(OR(M432="",L432=0,L432=""),"",M432/L432)</f>
        <v/>
      </c>
      <c r="R432" s="11">
        <f>IF(M432="","",M432*1.2)</f>
        <v/>
      </c>
      <c r="S432" s="14" t="n"/>
      <c r="T432" s="15" t="n"/>
    </row>
    <row r="433">
      <c r="A433" s="16" t="inlineStr">
        <is>
          <t>PROD-0440</t>
        </is>
      </c>
      <c r="B433" s="16" t="inlineStr">
        <is>
          <t>Crème pieds 50 ml</t>
        </is>
      </c>
      <c r="C433" s="16" t="inlineStr">
        <is>
          <t>COSMETIQUE_BIEN_ETRE</t>
        </is>
      </c>
      <c r="D433" s="16" t="inlineStr">
        <is>
          <t>SOIN</t>
        </is>
      </c>
      <c r="E433" s="16" t="inlineStr">
        <is>
          <t>SIGNATURE</t>
        </is>
      </c>
      <c r="F433" s="16" t="inlineStr">
        <is>
          <t>LISANE</t>
        </is>
      </c>
      <c r="G433" s="16" t="inlineStr">
        <is>
          <t>NORMAND DIRECT TERROIR</t>
        </is>
      </c>
      <c r="H433" s="16" t="inlineStr"/>
      <c r="I433" s="16" t="inlineStr">
        <is>
          <t>50 ml</t>
        </is>
      </c>
      <c r="J433" s="16" t="inlineStr">
        <is>
          <t>NON</t>
        </is>
      </c>
      <c r="K433" s="17" t="inlineStr">
        <is>
          <t>20 %</t>
        </is>
      </c>
      <c r="L433" s="18" t="n">
        <v>8.449999999999999</v>
      </c>
      <c r="M433" s="9" t="n">
        <v>19.4</v>
      </c>
      <c r="N433" s="10" t="inlineStr">
        <is>
          <t>PROPOSÉ</t>
        </is>
      </c>
      <c r="O433" s="11">
        <f>IF(M433="","",M433-L433)</f>
        <v/>
      </c>
      <c r="P433" s="12">
        <f>IF(OR(M433="",M433=0),"",(M433-L433)/M433)</f>
        <v/>
      </c>
      <c r="Q433" s="13">
        <f>IF(OR(M433="",L433=0,L433=""),"",M433/L433)</f>
        <v/>
      </c>
      <c r="R433" s="11">
        <f>IF(M433="","",M433*1.2)</f>
        <v/>
      </c>
      <c r="S433" s="14" t="n"/>
      <c r="T433" s="15" t="n"/>
    </row>
    <row r="434">
      <c r="A434" s="6" t="inlineStr">
        <is>
          <t>PROD-0441</t>
        </is>
      </c>
      <c r="B434" s="6" t="inlineStr">
        <is>
          <t>Crème main 50 ml</t>
        </is>
      </c>
      <c r="C434" s="6" t="inlineStr">
        <is>
          <t>COSMETIQUE_BIEN_ETRE</t>
        </is>
      </c>
      <c r="D434" s="6" t="inlineStr">
        <is>
          <t>SOIN</t>
        </is>
      </c>
      <c r="E434" s="6" t="inlineStr">
        <is>
          <t>SIGNATURE</t>
        </is>
      </c>
      <c r="F434" s="6" t="inlineStr">
        <is>
          <t>LISANE</t>
        </is>
      </c>
      <c r="G434" s="6" t="inlineStr">
        <is>
          <t>NORMAND DIRECT TERROIR</t>
        </is>
      </c>
      <c r="H434" s="6" t="inlineStr"/>
      <c r="I434" s="6" t="inlineStr">
        <is>
          <t>50 ml</t>
        </is>
      </c>
      <c r="J434" s="6" t="inlineStr">
        <is>
          <t>NON</t>
        </is>
      </c>
      <c r="K434" s="7" t="inlineStr">
        <is>
          <t>20 %</t>
        </is>
      </c>
      <c r="L434" s="8" t="n">
        <v>8.449999999999999</v>
      </c>
      <c r="M434" s="9" t="n">
        <v>19.4</v>
      </c>
      <c r="N434" s="10" t="inlineStr">
        <is>
          <t>PROPOSÉ</t>
        </is>
      </c>
      <c r="O434" s="11">
        <f>IF(M434="","",M434-L434)</f>
        <v/>
      </c>
      <c r="P434" s="12">
        <f>IF(OR(M434="",M434=0),"",(M434-L434)/M434)</f>
        <v/>
      </c>
      <c r="Q434" s="13">
        <f>IF(OR(M434="",L434=0,L434=""),"",M434/L434)</f>
        <v/>
      </c>
      <c r="R434" s="11">
        <f>IF(M434="","",M434*1.2)</f>
        <v/>
      </c>
      <c r="S434" s="14" t="n"/>
      <c r="T434" s="15" t="n"/>
    </row>
    <row r="435">
      <c r="A435" s="16" t="inlineStr">
        <is>
          <t>PROD-0436</t>
        </is>
      </c>
      <c r="B435" s="16" t="inlineStr">
        <is>
          <t>Shampoing 200 ml</t>
        </is>
      </c>
      <c r="C435" s="16" t="inlineStr">
        <is>
          <t>COSMETIQUE_BIEN_ETRE</t>
        </is>
      </c>
      <c r="D435" s="16" t="inlineStr">
        <is>
          <t>SOIN</t>
        </is>
      </c>
      <c r="E435" s="16" t="inlineStr">
        <is>
          <t>SIGNATURE</t>
        </is>
      </c>
      <c r="F435" s="16" t="inlineStr">
        <is>
          <t>LISANE</t>
        </is>
      </c>
      <c r="G435" s="16" t="inlineStr">
        <is>
          <t>NORMAND DIRECT TERROIR</t>
        </is>
      </c>
      <c r="H435" s="16" t="inlineStr"/>
      <c r="I435" s="16" t="inlineStr">
        <is>
          <t>200 ml</t>
        </is>
      </c>
      <c r="J435" s="16" t="inlineStr">
        <is>
          <t>NON</t>
        </is>
      </c>
      <c r="K435" s="17" t="inlineStr">
        <is>
          <t>20 %</t>
        </is>
      </c>
      <c r="L435" s="18" t="n">
        <v>7.8</v>
      </c>
      <c r="M435" s="9" t="n">
        <v>19.5</v>
      </c>
      <c r="N435" s="10" t="inlineStr">
        <is>
          <t>PROPOSÉ</t>
        </is>
      </c>
      <c r="O435" s="11">
        <f>IF(M435="","",M435-L435)</f>
        <v/>
      </c>
      <c r="P435" s="12">
        <f>IF(OR(M435="",M435=0),"",(M435-L435)/M435)</f>
        <v/>
      </c>
      <c r="Q435" s="13">
        <f>IF(OR(M435="",L435=0,L435=""),"",M435/L435)</f>
        <v/>
      </c>
      <c r="R435" s="11">
        <f>IF(M435="","",M435*1.2)</f>
        <v/>
      </c>
      <c r="S435" s="14" t="n"/>
      <c r="T435" s="15" t="n"/>
    </row>
    <row r="436">
      <c r="A436" s="6" t="inlineStr">
        <is>
          <t>PROD-0429</t>
        </is>
      </c>
      <c r="B436" s="6" t="inlineStr">
        <is>
          <t>Bain douche 250 ml lait</t>
        </is>
      </c>
      <c r="C436" s="6" t="inlineStr">
        <is>
          <t>COSMETIQUE_BIEN_ETRE</t>
        </is>
      </c>
      <c r="D436" s="6" t="inlineStr">
        <is>
          <t>SOIN</t>
        </is>
      </c>
      <c r="E436" s="6" t="inlineStr">
        <is>
          <t>SIGNATURE</t>
        </is>
      </c>
      <c r="F436" s="6" t="inlineStr">
        <is>
          <t>LISANE</t>
        </is>
      </c>
      <c r="G436" s="6" t="inlineStr">
        <is>
          <t>NORMAND DIRECT TERROIR</t>
        </is>
      </c>
      <c r="H436" s="6" t="inlineStr"/>
      <c r="I436" s="6" t="inlineStr">
        <is>
          <t>250 ml</t>
        </is>
      </c>
      <c r="J436" s="6" t="inlineStr">
        <is>
          <t>NON</t>
        </is>
      </c>
      <c r="K436" s="7" t="inlineStr">
        <is>
          <t>20 %</t>
        </is>
      </c>
      <c r="L436" s="8" t="n">
        <v>7.7</v>
      </c>
      <c r="M436" s="9" t="n">
        <v>19.2</v>
      </c>
      <c r="N436" s="10" t="inlineStr">
        <is>
          <t>PROPOSÉ</t>
        </is>
      </c>
      <c r="O436" s="11">
        <f>IF(M436="","",M436-L436)</f>
        <v/>
      </c>
      <c r="P436" s="12">
        <f>IF(OR(M436="",M436=0),"",(M436-L436)/M436)</f>
        <v/>
      </c>
      <c r="Q436" s="13">
        <f>IF(OR(M436="",L436=0,L436=""),"",M436/L436)</f>
        <v/>
      </c>
      <c r="R436" s="11">
        <f>IF(M436="","",M436*1.2)</f>
        <v/>
      </c>
      <c r="S436" s="14" t="n"/>
      <c r="T436" s="15" t="n"/>
    </row>
    <row r="437">
      <c r="A437" s="16" t="inlineStr">
        <is>
          <t>PROD-0430</t>
        </is>
      </c>
      <c r="B437" s="16" t="inlineStr">
        <is>
          <t>Bain douche 250 ml amande douce</t>
        </is>
      </c>
      <c r="C437" s="16" t="inlineStr">
        <is>
          <t>COSMETIQUE_BIEN_ETRE</t>
        </is>
      </c>
      <c r="D437" s="16" t="inlineStr">
        <is>
          <t>SOIN</t>
        </is>
      </c>
      <c r="E437" s="16" t="inlineStr">
        <is>
          <t>SIGNATURE</t>
        </is>
      </c>
      <c r="F437" s="16" t="inlineStr">
        <is>
          <t>LISANE</t>
        </is>
      </c>
      <c r="G437" s="16" t="inlineStr">
        <is>
          <t>NORMAND DIRECT TERROIR</t>
        </is>
      </c>
      <c r="H437" s="16" t="inlineStr"/>
      <c r="I437" s="16" t="inlineStr">
        <is>
          <t>250 ml</t>
        </is>
      </c>
      <c r="J437" s="16" t="inlineStr">
        <is>
          <t>NON</t>
        </is>
      </c>
      <c r="K437" s="17" t="inlineStr">
        <is>
          <t>20 %</t>
        </is>
      </c>
      <c r="L437" s="18" t="n">
        <v>7.7</v>
      </c>
      <c r="M437" s="9" t="n">
        <v>19.2</v>
      </c>
      <c r="N437" s="10" t="inlineStr">
        <is>
          <t>PROPOSÉ</t>
        </is>
      </c>
      <c r="O437" s="11">
        <f>IF(M437="","",M437-L437)</f>
        <v/>
      </c>
      <c r="P437" s="12">
        <f>IF(OR(M437="",M437=0),"",(M437-L437)/M437)</f>
        <v/>
      </c>
      <c r="Q437" s="13">
        <f>IF(OR(M437="",L437=0,L437=""),"",M437/L437)</f>
        <v/>
      </c>
      <c r="R437" s="11">
        <f>IF(M437="","",M437*1.2)</f>
        <v/>
      </c>
      <c r="S437" s="14" t="n"/>
      <c r="T437" s="15" t="n"/>
    </row>
    <row r="438">
      <c r="A438" s="6" t="inlineStr">
        <is>
          <t>PROD-0431</t>
        </is>
      </c>
      <c r="B438" s="6" t="inlineStr">
        <is>
          <t>Bain douche 250 ml thé blanc</t>
        </is>
      </c>
      <c r="C438" s="6" t="inlineStr">
        <is>
          <t>COSMETIQUE_BIEN_ETRE</t>
        </is>
      </c>
      <c r="D438" s="6" t="inlineStr">
        <is>
          <t>SOIN</t>
        </is>
      </c>
      <c r="E438" s="6" t="inlineStr">
        <is>
          <t>SIGNATURE</t>
        </is>
      </c>
      <c r="F438" s="6" t="inlineStr">
        <is>
          <t>LISANE</t>
        </is>
      </c>
      <c r="G438" s="6" t="inlineStr">
        <is>
          <t>NORMAND DIRECT TERROIR</t>
        </is>
      </c>
      <c r="H438" s="6" t="inlineStr"/>
      <c r="I438" s="6" t="inlineStr">
        <is>
          <t>250 ml</t>
        </is>
      </c>
      <c r="J438" s="6" t="inlineStr">
        <is>
          <t>NON</t>
        </is>
      </c>
      <c r="K438" s="7" t="inlineStr">
        <is>
          <t>20 %</t>
        </is>
      </c>
      <c r="L438" s="8" t="n">
        <v>7.7</v>
      </c>
      <c r="M438" s="9" t="n">
        <v>19.2</v>
      </c>
      <c r="N438" s="10" t="inlineStr">
        <is>
          <t>PROPOSÉ</t>
        </is>
      </c>
      <c r="O438" s="11">
        <f>IF(M438="","",M438-L438)</f>
        <v/>
      </c>
      <c r="P438" s="12">
        <f>IF(OR(M438="",M438=0),"",(M438-L438)/M438)</f>
        <v/>
      </c>
      <c r="Q438" s="13">
        <f>IF(OR(M438="",L438=0,L438=""),"",M438/L438)</f>
        <v/>
      </c>
      <c r="R438" s="11">
        <f>IF(M438="","",M438*1.2)</f>
        <v/>
      </c>
      <c r="S438" s="14" t="n"/>
      <c r="T438" s="15" t="n"/>
    </row>
    <row r="439">
      <c r="A439" s="16" t="inlineStr">
        <is>
          <t>PROD-0432</t>
        </is>
      </c>
      <c r="B439" s="16" t="inlineStr">
        <is>
          <t>Bain douche 250 ml marine</t>
        </is>
      </c>
      <c r="C439" s="16" t="inlineStr">
        <is>
          <t>COSMETIQUE_BIEN_ETRE</t>
        </is>
      </c>
      <c r="D439" s="16" t="inlineStr">
        <is>
          <t>SOIN</t>
        </is>
      </c>
      <c r="E439" s="16" t="inlineStr">
        <is>
          <t>SIGNATURE</t>
        </is>
      </c>
      <c r="F439" s="16" t="inlineStr">
        <is>
          <t>LISANE</t>
        </is>
      </c>
      <c r="G439" s="16" t="inlineStr">
        <is>
          <t>NORMAND DIRECT TERROIR</t>
        </is>
      </c>
      <c r="H439" s="16" t="inlineStr"/>
      <c r="I439" s="16" t="inlineStr">
        <is>
          <t>250 ml</t>
        </is>
      </c>
      <c r="J439" s="16" t="inlineStr">
        <is>
          <t>NON</t>
        </is>
      </c>
      <c r="K439" s="17" t="inlineStr">
        <is>
          <t>20 %</t>
        </is>
      </c>
      <c r="L439" s="18" t="n">
        <v>7.7</v>
      </c>
      <c r="M439" s="9" t="n">
        <v>19.2</v>
      </c>
      <c r="N439" s="10" t="inlineStr">
        <is>
          <t>PROPOSÉ</t>
        </is>
      </c>
      <c r="O439" s="11">
        <f>IF(M439="","",M439-L439)</f>
        <v/>
      </c>
      <c r="P439" s="12">
        <f>IF(OR(M439="",M439=0),"",(M439-L439)/M439)</f>
        <v/>
      </c>
      <c r="Q439" s="13">
        <f>IF(OR(M439="",L439=0,L439=""),"",M439/L439)</f>
        <v/>
      </c>
      <c r="R439" s="11">
        <f>IF(M439="","",M439*1.2)</f>
        <v/>
      </c>
      <c r="S439" s="14" t="n"/>
      <c r="T439" s="15" t="n"/>
    </row>
    <row r="440">
      <c r="A440" s="6" t="inlineStr">
        <is>
          <t>PROD-0433</t>
        </is>
      </c>
      <c r="B440" s="6" t="inlineStr">
        <is>
          <t>Bain douche 250 ml chèvrefeuille</t>
        </is>
      </c>
      <c r="C440" s="6" t="inlineStr">
        <is>
          <t>COSMETIQUE_BIEN_ETRE</t>
        </is>
      </c>
      <c r="D440" s="6" t="inlineStr">
        <is>
          <t>SOIN</t>
        </is>
      </c>
      <c r="E440" s="6" t="inlineStr">
        <is>
          <t>SIGNATURE</t>
        </is>
      </c>
      <c r="F440" s="6" t="inlineStr">
        <is>
          <t>LISANE</t>
        </is>
      </c>
      <c r="G440" s="6" t="inlineStr">
        <is>
          <t>NORMAND DIRECT TERROIR</t>
        </is>
      </c>
      <c r="H440" s="6" t="inlineStr"/>
      <c r="I440" s="6" t="inlineStr">
        <is>
          <t>250 ml</t>
        </is>
      </c>
      <c r="J440" s="6" t="inlineStr">
        <is>
          <t>NON</t>
        </is>
      </c>
      <c r="K440" s="7" t="inlineStr">
        <is>
          <t>20 %</t>
        </is>
      </c>
      <c r="L440" s="8" t="n">
        <v>7.7</v>
      </c>
      <c r="M440" s="9" t="n">
        <v>19.2</v>
      </c>
      <c r="N440" s="10" t="inlineStr">
        <is>
          <t>PROPOSÉ</t>
        </is>
      </c>
      <c r="O440" s="11">
        <f>IF(M440="","",M440-L440)</f>
        <v/>
      </c>
      <c r="P440" s="12">
        <f>IF(OR(M440="",M440=0),"",(M440-L440)/M440)</f>
        <v/>
      </c>
      <c r="Q440" s="13">
        <f>IF(OR(M440="",L440=0,L440=""),"",M440/L440)</f>
        <v/>
      </c>
      <c r="R440" s="11">
        <f>IF(M440="","",M440*1.2)</f>
        <v/>
      </c>
      <c r="S440" s="14" t="n"/>
      <c r="T440" s="15" t="n"/>
    </row>
    <row r="441">
      <c r="A441" s="16" t="inlineStr">
        <is>
          <t>PROD-0434</t>
        </is>
      </c>
      <c r="B441" s="16" t="inlineStr">
        <is>
          <t>Bain douche 250 ml avoine</t>
        </is>
      </c>
      <c r="C441" s="16" t="inlineStr">
        <is>
          <t>COSMETIQUE_BIEN_ETRE</t>
        </is>
      </c>
      <c r="D441" s="16" t="inlineStr">
        <is>
          <t>SOIN</t>
        </is>
      </c>
      <c r="E441" s="16" t="inlineStr">
        <is>
          <t>SIGNATURE</t>
        </is>
      </c>
      <c r="F441" s="16" t="inlineStr">
        <is>
          <t>LISANE</t>
        </is>
      </c>
      <c r="G441" s="16" t="inlineStr">
        <is>
          <t>NORMAND DIRECT TERROIR</t>
        </is>
      </c>
      <c r="H441" s="16" t="inlineStr"/>
      <c r="I441" s="16" t="inlineStr">
        <is>
          <t>250 ml</t>
        </is>
      </c>
      <c r="J441" s="16" t="inlineStr">
        <is>
          <t>NON</t>
        </is>
      </c>
      <c r="K441" s="17" t="inlineStr">
        <is>
          <t>20 %</t>
        </is>
      </c>
      <c r="L441" s="18" t="n">
        <v>7.7</v>
      </c>
      <c r="M441" s="9" t="n">
        <v>19.2</v>
      </c>
      <c r="N441" s="10" t="inlineStr">
        <is>
          <t>PROPOSÉ</t>
        </is>
      </c>
      <c r="O441" s="11">
        <f>IF(M441="","",M441-L441)</f>
        <v/>
      </c>
      <c r="P441" s="12">
        <f>IF(OR(M441="",M441=0),"",(M441-L441)/M441)</f>
        <v/>
      </c>
      <c r="Q441" s="13">
        <f>IF(OR(M441="",L441=0,L441=""),"",M441/L441)</f>
        <v/>
      </c>
      <c r="R441" s="11">
        <f>IF(M441="","",M441*1.2)</f>
        <v/>
      </c>
      <c r="S441" s="14" t="n"/>
      <c r="T441" s="15" t="n"/>
    </row>
    <row r="442">
      <c r="A442" s="6" t="inlineStr">
        <is>
          <t>PROD-0435</t>
        </is>
      </c>
      <c r="B442" s="6" t="inlineStr">
        <is>
          <t>Bain douche 250 ml fleur de pommier</t>
        </is>
      </c>
      <c r="C442" s="6" t="inlineStr">
        <is>
          <t>COSMETIQUE_BIEN_ETRE</t>
        </is>
      </c>
      <c r="D442" s="6" t="inlineStr">
        <is>
          <t>SOIN</t>
        </is>
      </c>
      <c r="E442" s="6" t="inlineStr">
        <is>
          <t>SIGNATURE</t>
        </is>
      </c>
      <c r="F442" s="6" t="inlineStr">
        <is>
          <t>LISANE</t>
        </is>
      </c>
      <c r="G442" s="6" t="inlineStr">
        <is>
          <t>NORMAND DIRECT TERROIR</t>
        </is>
      </c>
      <c r="H442" s="6" t="inlineStr"/>
      <c r="I442" s="6" t="inlineStr">
        <is>
          <t>250 ml</t>
        </is>
      </c>
      <c r="J442" s="6" t="inlineStr">
        <is>
          <t>NON</t>
        </is>
      </c>
      <c r="K442" s="7" t="inlineStr">
        <is>
          <t>20 %</t>
        </is>
      </c>
      <c r="L442" s="8" t="n">
        <v>7.7</v>
      </c>
      <c r="M442" s="9" t="n">
        <v>19.2</v>
      </c>
      <c r="N442" s="10" t="inlineStr">
        <is>
          <t>PROPOSÉ</t>
        </is>
      </c>
      <c r="O442" s="11">
        <f>IF(M442="","",M442-L442)</f>
        <v/>
      </c>
      <c r="P442" s="12">
        <f>IF(OR(M442="",M442=0),"",(M442-L442)/M442)</f>
        <v/>
      </c>
      <c r="Q442" s="13">
        <f>IF(OR(M442="",L442=0,L442=""),"",M442/L442)</f>
        <v/>
      </c>
      <c r="R442" s="11">
        <f>IF(M442="","",M442*1.2)</f>
        <v/>
      </c>
      <c r="S442" s="14" t="n"/>
      <c r="T442" s="15" t="n"/>
    </row>
    <row r="443">
      <c r="A443" s="16" t="inlineStr">
        <is>
          <t>PROD-0439</t>
        </is>
      </c>
      <c r="B443" s="16" t="inlineStr">
        <is>
          <t>Lait corporel 200 ml</t>
        </is>
      </c>
      <c r="C443" s="16" t="inlineStr">
        <is>
          <t>COSMETIQUE_BIEN_ETRE</t>
        </is>
      </c>
      <c r="D443" s="16" t="inlineStr">
        <is>
          <t>SOIN</t>
        </is>
      </c>
      <c r="E443" s="16" t="inlineStr">
        <is>
          <t>PREMIUM</t>
        </is>
      </c>
      <c r="F443" s="16" t="inlineStr">
        <is>
          <t>LISANE</t>
        </is>
      </c>
      <c r="G443" s="16" t="inlineStr">
        <is>
          <t>NORMAND DIRECT TERROIR</t>
        </is>
      </c>
      <c r="H443" s="16" t="inlineStr"/>
      <c r="I443" s="16" t="inlineStr">
        <is>
          <t>200 ml</t>
        </is>
      </c>
      <c r="J443" s="16" t="inlineStr">
        <is>
          <t>NON</t>
        </is>
      </c>
      <c r="K443" s="17" t="inlineStr">
        <is>
          <t>20 %</t>
        </is>
      </c>
      <c r="L443" s="18" t="n">
        <v>13.7</v>
      </c>
      <c r="M443" s="9" t="n">
        <v>31.5</v>
      </c>
      <c r="N443" s="10" t="inlineStr">
        <is>
          <t>PROPOSÉ</t>
        </is>
      </c>
      <c r="O443" s="11">
        <f>IF(M443="","",M443-L443)</f>
        <v/>
      </c>
      <c r="P443" s="12">
        <f>IF(OR(M443="",M443=0),"",(M443-L443)/M443)</f>
        <v/>
      </c>
      <c r="Q443" s="13">
        <f>IF(OR(M443="",L443=0,L443=""),"",M443/L443)</f>
        <v/>
      </c>
      <c r="R443" s="11">
        <f>IF(M443="","",M443*1.2)</f>
        <v/>
      </c>
      <c r="S443" s="14" t="n"/>
      <c r="T443" s="15" t="n"/>
    </row>
    <row r="444">
      <c r="A444" s="6" t="inlineStr">
        <is>
          <t>PROD-0438</t>
        </is>
      </c>
      <c r="B444" s="6" t="inlineStr">
        <is>
          <t>Crème antiride 50 ml</t>
        </is>
      </c>
      <c r="C444" s="6" t="inlineStr">
        <is>
          <t>COSMETIQUE_BIEN_ETRE</t>
        </is>
      </c>
      <c r="D444" s="6" t="inlineStr">
        <is>
          <t>SOIN</t>
        </is>
      </c>
      <c r="E444" s="6" t="inlineStr">
        <is>
          <t>PREMIUM</t>
        </is>
      </c>
      <c r="F444" s="6" t="inlineStr">
        <is>
          <t>LISANE</t>
        </is>
      </c>
      <c r="G444" s="6" t="inlineStr">
        <is>
          <t>NORMAND DIRECT TERROIR</t>
        </is>
      </c>
      <c r="H444" s="6" t="inlineStr"/>
      <c r="I444" s="6" t="inlineStr">
        <is>
          <t>50 ml</t>
        </is>
      </c>
      <c r="J444" s="6" t="inlineStr">
        <is>
          <t>NON</t>
        </is>
      </c>
      <c r="K444" s="7" t="inlineStr">
        <is>
          <t>20 %</t>
        </is>
      </c>
      <c r="L444" s="8" t="n">
        <v>12.8</v>
      </c>
      <c r="M444" s="9" t="n">
        <v>29.5</v>
      </c>
      <c r="N444" s="10" t="inlineStr">
        <is>
          <t>PROPOSÉ</t>
        </is>
      </c>
      <c r="O444" s="11">
        <f>IF(M444="","",M444-L444)</f>
        <v/>
      </c>
      <c r="P444" s="12">
        <f>IF(OR(M444="",M444=0),"",(M444-L444)/M444)</f>
        <v/>
      </c>
      <c r="Q444" s="13">
        <f>IF(OR(M444="",L444=0,L444=""),"",M444/L444)</f>
        <v/>
      </c>
      <c r="R444" s="11">
        <f>IF(M444="","",M444*1.2)</f>
        <v/>
      </c>
      <c r="S444" s="14" t="n"/>
      <c r="T444" s="15" t="n"/>
    </row>
    <row r="445">
      <c r="A445" s="16" t="inlineStr">
        <is>
          <t>PROD-0437</t>
        </is>
      </c>
      <c r="B445" s="16" t="inlineStr">
        <is>
          <t>Crème hydratante 50 ml</t>
        </is>
      </c>
      <c r="C445" s="16" t="inlineStr">
        <is>
          <t>COSMETIQUE_BIEN_ETRE</t>
        </is>
      </c>
      <c r="D445" s="16" t="inlineStr">
        <is>
          <t>SOIN</t>
        </is>
      </c>
      <c r="E445" s="16" t="inlineStr">
        <is>
          <t>PREMIUM</t>
        </is>
      </c>
      <c r="F445" s="16" t="inlineStr">
        <is>
          <t>LISANE</t>
        </is>
      </c>
      <c r="G445" s="16" t="inlineStr">
        <is>
          <t>NORMAND DIRECT TERROIR</t>
        </is>
      </c>
      <c r="H445" s="16" t="inlineStr"/>
      <c r="I445" s="16" t="inlineStr">
        <is>
          <t>50 ml</t>
        </is>
      </c>
      <c r="J445" s="16" t="inlineStr">
        <is>
          <t>NON</t>
        </is>
      </c>
      <c r="K445" s="17" t="inlineStr">
        <is>
          <t>20 %</t>
        </is>
      </c>
      <c r="L445" s="18" t="n">
        <v>11.3</v>
      </c>
      <c r="M445" s="9" t="n">
        <v>26</v>
      </c>
      <c r="N445" s="10" t="inlineStr">
        <is>
          <t>PROPOSÉ</t>
        </is>
      </c>
      <c r="O445" s="11">
        <f>IF(M445="","",M445-L445)</f>
        <v/>
      </c>
      <c r="P445" s="12">
        <f>IF(OR(M445="",M445=0),"",(M445-L445)/M445)</f>
        <v/>
      </c>
      <c r="Q445" s="13">
        <f>IF(OR(M445="",L445=0,L445=""),"",M445/L445)</f>
        <v/>
      </c>
      <c r="R445" s="11">
        <f>IF(M445="","",M445*1.2)</f>
        <v/>
      </c>
      <c r="S445" s="14" t="n"/>
      <c r="T445" s="15" t="n"/>
    </row>
    <row r="446">
      <c r="A446" s="6" t="inlineStr">
        <is>
          <t>PROD-0182</t>
        </is>
      </c>
      <c r="B446" s="6" t="inlineStr">
        <is>
          <t>Rillettes de maquereaux moutarde 140grs</t>
        </is>
      </c>
      <c r="C446" s="6" t="inlineStr">
        <is>
          <t>EPICERIE_SALEE</t>
        </is>
      </c>
      <c r="D446" s="6" t="inlineStr">
        <is>
          <t>CONDIMENT</t>
        </is>
      </c>
      <c r="E446" s="6" t="inlineStr">
        <is>
          <t>ESSENTIEL</t>
        </is>
      </c>
      <c r="F446" s="6" t="inlineStr">
        <is>
          <t>MAISON SAINT LO</t>
        </is>
      </c>
      <c r="G446" s="6" t="inlineStr">
        <is>
          <t>NORMAND DIRECT TERROIR</t>
        </is>
      </c>
      <c r="H446" s="6" t="inlineStr"/>
      <c r="I446" s="6" t="inlineStr">
        <is>
          <t>140 g</t>
        </is>
      </c>
      <c r="J446" s="6" t="inlineStr">
        <is>
          <t>NON</t>
        </is>
      </c>
      <c r="K446" s="7" t="inlineStr">
        <is>
          <t>5.5 %</t>
        </is>
      </c>
      <c r="L446" s="8" t="n">
        <v>4.5</v>
      </c>
      <c r="M446" s="9" t="n">
        <v>10.8</v>
      </c>
      <c r="N446" s="10" t="inlineStr">
        <is>
          <t>PROPOSÉ</t>
        </is>
      </c>
      <c r="O446" s="11">
        <f>IF(M446="","",M446-L446)</f>
        <v/>
      </c>
      <c r="P446" s="12">
        <f>IF(OR(M446="",M446=0),"",(M446-L446)/M446)</f>
        <v/>
      </c>
      <c r="Q446" s="13">
        <f>IF(OR(M446="",L446=0,L446=""),"",M446/L446)</f>
        <v/>
      </c>
      <c r="R446" s="11">
        <f>IF(M446="","",M446*1.055)</f>
        <v/>
      </c>
      <c r="S446" s="14" t="n"/>
      <c r="T446" s="15" t="n"/>
    </row>
    <row r="447">
      <c r="A447" s="16" t="inlineStr">
        <is>
          <t>PROD-0187</t>
        </is>
      </c>
      <c r="B447" s="16" t="inlineStr">
        <is>
          <t>Rillettes truite moutarde ancienne 140 grs</t>
        </is>
      </c>
      <c r="C447" s="16" t="inlineStr">
        <is>
          <t>EPICERIE_SALEE</t>
        </is>
      </c>
      <c r="D447" s="16" t="inlineStr">
        <is>
          <t>CONDIMENT</t>
        </is>
      </c>
      <c r="E447" s="16" t="inlineStr">
        <is>
          <t>ESSENTIEL</t>
        </is>
      </c>
      <c r="F447" s="16" t="inlineStr">
        <is>
          <t>MAISON SAINT LO</t>
        </is>
      </c>
      <c r="G447" s="16" t="inlineStr">
        <is>
          <t>NORMAND DIRECT TERROIR</t>
        </is>
      </c>
      <c r="H447" s="16" t="inlineStr"/>
      <c r="I447" s="16" t="inlineStr">
        <is>
          <t>140 g</t>
        </is>
      </c>
      <c r="J447" s="16" t="inlineStr">
        <is>
          <t>NON</t>
        </is>
      </c>
      <c r="K447" s="17" t="inlineStr">
        <is>
          <t>5.5 %</t>
        </is>
      </c>
      <c r="L447" s="18" t="n">
        <v>4.5</v>
      </c>
      <c r="M447" s="9" t="n">
        <v>10.8</v>
      </c>
      <c r="N447" s="10" t="inlineStr">
        <is>
          <t>PROPOSÉ</t>
        </is>
      </c>
      <c r="O447" s="11">
        <f>IF(M447="","",M447-L447)</f>
        <v/>
      </c>
      <c r="P447" s="12">
        <f>IF(OR(M447="",M447=0),"",(M447-L447)/M447)</f>
        <v/>
      </c>
      <c r="Q447" s="13">
        <f>IF(OR(M447="",L447=0,L447=""),"",M447/L447)</f>
        <v/>
      </c>
      <c r="R447" s="11">
        <f>IF(M447="","",M447*1.055)</f>
        <v/>
      </c>
      <c r="S447" s="14" t="n"/>
      <c r="T447" s="15" t="n"/>
    </row>
    <row r="448">
      <c r="A448" s="6" t="inlineStr">
        <is>
          <t>PROD-0269</t>
        </is>
      </c>
      <c r="B448" s="6" t="inlineStr">
        <is>
          <t>MOUTARDE 100g Pomme Calvados</t>
        </is>
      </c>
      <c r="C448" s="6" t="inlineStr">
        <is>
          <t>EPICERIE_SALEE</t>
        </is>
      </c>
      <c r="D448" s="6" t="inlineStr">
        <is>
          <t>CONDIMENT</t>
        </is>
      </c>
      <c r="E448" s="6" t="inlineStr">
        <is>
          <t>ESSENTIEL</t>
        </is>
      </c>
      <c r="F448" s="6" t="inlineStr">
        <is>
          <t>BALADES NORMANDES</t>
        </is>
      </c>
      <c r="G448" s="6" t="inlineStr">
        <is>
          <t>NORMAND DIRECT TERROIR</t>
        </is>
      </c>
      <c r="H448" s="6" t="inlineStr"/>
      <c r="I448" s="6" t="inlineStr">
        <is>
          <t>100 g</t>
        </is>
      </c>
      <c r="J448" s="6" t="inlineStr">
        <is>
          <t>INGREDIENT_ALCOOLISE</t>
        </is>
      </c>
      <c r="K448" s="7" t="inlineStr">
        <is>
          <t>5.5 %</t>
        </is>
      </c>
      <c r="L448" s="8" t="n">
        <v>4.25</v>
      </c>
      <c r="M448" s="9" t="n">
        <v>10.2</v>
      </c>
      <c r="N448" s="10" t="inlineStr">
        <is>
          <t>PROPOSÉ</t>
        </is>
      </c>
      <c r="O448" s="11">
        <f>IF(M448="","",M448-L448)</f>
        <v/>
      </c>
      <c r="P448" s="12">
        <f>IF(OR(M448="",M448=0),"",(M448-L448)/M448)</f>
        <v/>
      </c>
      <c r="Q448" s="13">
        <f>IF(OR(M448="",L448=0,L448=""),"",M448/L448)</f>
        <v/>
      </c>
      <c r="R448" s="11">
        <f>IF(M448="","",M448*1.055)</f>
        <v/>
      </c>
      <c r="S448" s="14" t="n"/>
      <c r="T448" s="15" t="n"/>
    </row>
    <row r="449">
      <c r="A449" s="16" t="inlineStr">
        <is>
          <t>PROD-0270</t>
        </is>
      </c>
      <c r="B449" s="16" t="inlineStr">
        <is>
          <t>MOUTARDE 100g Camembert</t>
        </is>
      </c>
      <c r="C449" s="16" t="inlineStr">
        <is>
          <t>EPICERIE_SALEE</t>
        </is>
      </c>
      <c r="D449" s="16" t="inlineStr">
        <is>
          <t>CONDIMENT</t>
        </is>
      </c>
      <c r="E449" s="16" t="inlineStr">
        <is>
          <t>ESSENTIEL</t>
        </is>
      </c>
      <c r="F449" s="16" t="inlineStr">
        <is>
          <t>BALADES NORMANDES</t>
        </is>
      </c>
      <c r="G449" s="16" t="inlineStr">
        <is>
          <t>NORMAND DIRECT TERROIR</t>
        </is>
      </c>
      <c r="H449" s="16" t="inlineStr"/>
      <c r="I449" s="16" t="inlineStr">
        <is>
          <t>100 g</t>
        </is>
      </c>
      <c r="J449" s="16" t="inlineStr">
        <is>
          <t>NON</t>
        </is>
      </c>
      <c r="K449" s="17" t="inlineStr">
        <is>
          <t>5.5 %</t>
        </is>
      </c>
      <c r="L449" s="18" t="n">
        <v>4.25</v>
      </c>
      <c r="M449" s="9" t="n">
        <v>10.2</v>
      </c>
      <c r="N449" s="10" t="inlineStr">
        <is>
          <t>PROPOSÉ</t>
        </is>
      </c>
      <c r="O449" s="11">
        <f>IF(M449="","",M449-L449)</f>
        <v/>
      </c>
      <c r="P449" s="12">
        <f>IF(OR(M449="",M449=0),"",(M449-L449)/M449)</f>
        <v/>
      </c>
      <c r="Q449" s="13">
        <f>IF(OR(M449="",L449=0,L449=""),"",M449/L449)</f>
        <v/>
      </c>
      <c r="R449" s="11">
        <f>IF(M449="","",M449*1.055)</f>
        <v/>
      </c>
      <c r="S449" s="14" t="n"/>
      <c r="T449" s="15" t="n"/>
    </row>
    <row r="450">
      <c r="A450" s="6" t="inlineStr">
        <is>
          <t>PROD-0271</t>
        </is>
      </c>
      <c r="B450" s="6" t="inlineStr">
        <is>
          <t>MOUTARDE 100g à l'ancienne au Cidre</t>
        </is>
      </c>
      <c r="C450" s="6" t="inlineStr">
        <is>
          <t>EPICERIE_SALEE</t>
        </is>
      </c>
      <c r="D450" s="6" t="inlineStr">
        <is>
          <t>CONDIMENT</t>
        </is>
      </c>
      <c r="E450" s="6" t="inlineStr">
        <is>
          <t>ESSENTIEL</t>
        </is>
      </c>
      <c r="F450" s="6" t="inlineStr">
        <is>
          <t>BALADES NORMANDES</t>
        </is>
      </c>
      <c r="G450" s="6" t="inlineStr">
        <is>
          <t>NORMAND DIRECT TERROIR</t>
        </is>
      </c>
      <c r="H450" s="6" t="inlineStr"/>
      <c r="I450" s="6" t="inlineStr">
        <is>
          <t>100 g</t>
        </is>
      </c>
      <c r="J450" s="6" t="inlineStr">
        <is>
          <t>INGREDIENT_ALCOOLISE</t>
        </is>
      </c>
      <c r="K450" s="7" t="inlineStr">
        <is>
          <t>5.5 %</t>
        </is>
      </c>
      <c r="L450" s="8" t="n">
        <v>4.25</v>
      </c>
      <c r="M450" s="9" t="n">
        <v>10.2</v>
      </c>
      <c r="N450" s="10" t="inlineStr">
        <is>
          <t>PROPOSÉ</t>
        </is>
      </c>
      <c r="O450" s="11">
        <f>IF(M450="","",M450-L450)</f>
        <v/>
      </c>
      <c r="P450" s="12">
        <f>IF(OR(M450="",M450=0),"",(M450-L450)/M450)</f>
        <v/>
      </c>
      <c r="Q450" s="13">
        <f>IF(OR(M450="",L450=0,L450=""),"",M450/L450)</f>
        <v/>
      </c>
      <c r="R450" s="11">
        <f>IF(M450="","",M450*1.055)</f>
        <v/>
      </c>
      <c r="S450" s="14" t="n"/>
      <c r="T450" s="15" t="n"/>
    </row>
    <row r="451">
      <c r="A451" s="16" t="inlineStr">
        <is>
          <t>PROD-0272</t>
        </is>
      </c>
      <c r="B451" s="16" t="inlineStr">
        <is>
          <t>MOUTARDE 100g à l'ail Noir</t>
        </is>
      </c>
      <c r="C451" s="16" t="inlineStr">
        <is>
          <t>EPICERIE_SALEE</t>
        </is>
      </c>
      <c r="D451" s="16" t="inlineStr">
        <is>
          <t>CONDIMENT</t>
        </is>
      </c>
      <c r="E451" s="16" t="inlineStr">
        <is>
          <t>ESSENTIEL</t>
        </is>
      </c>
      <c r="F451" s="16" t="inlineStr">
        <is>
          <t>BALADES NORMANDES</t>
        </is>
      </c>
      <c r="G451" s="16" t="inlineStr">
        <is>
          <t>NORMAND DIRECT TERROIR</t>
        </is>
      </c>
      <c r="H451" s="16" t="inlineStr"/>
      <c r="I451" s="16" t="inlineStr">
        <is>
          <t>100 g</t>
        </is>
      </c>
      <c r="J451" s="16" t="inlineStr">
        <is>
          <t>NON</t>
        </is>
      </c>
      <c r="K451" s="17" t="inlineStr">
        <is>
          <t>5.5 %</t>
        </is>
      </c>
      <c r="L451" s="18" t="n">
        <v>4.25</v>
      </c>
      <c r="M451" s="9" t="n">
        <v>10.2</v>
      </c>
      <c r="N451" s="10" t="inlineStr">
        <is>
          <t>PROPOSÉ</t>
        </is>
      </c>
      <c r="O451" s="11">
        <f>IF(M451="","",M451-L451)</f>
        <v/>
      </c>
      <c r="P451" s="12">
        <f>IF(OR(M451="",M451=0),"",(M451-L451)/M451)</f>
        <v/>
      </c>
      <c r="Q451" s="13">
        <f>IF(OR(M451="",L451=0,L451=""),"",M451/L451)</f>
        <v/>
      </c>
      <c r="R451" s="11">
        <f>IF(M451="","",M451*1.055)</f>
        <v/>
      </c>
      <c r="S451" s="14" t="n"/>
      <c r="T451" s="15" t="n"/>
    </row>
    <row r="452">
      <c r="A452" s="6" t="inlineStr">
        <is>
          <t>PROD-0273</t>
        </is>
      </c>
      <c r="B452" s="6" t="inlineStr">
        <is>
          <t>MOUTARDE 100g au Piment d'Espelette</t>
        </is>
      </c>
      <c r="C452" s="6" t="inlineStr">
        <is>
          <t>EPICERIE_SALEE</t>
        </is>
      </c>
      <c r="D452" s="6" t="inlineStr">
        <is>
          <t>CONDIMENT</t>
        </is>
      </c>
      <c r="E452" s="6" t="inlineStr">
        <is>
          <t>ESSENTIEL</t>
        </is>
      </c>
      <c r="F452" s="6" t="inlineStr">
        <is>
          <t>BALADES NORMANDES</t>
        </is>
      </c>
      <c r="G452" s="6" t="inlineStr">
        <is>
          <t>NORMAND DIRECT TERROIR</t>
        </is>
      </c>
      <c r="H452" s="6" t="inlineStr"/>
      <c r="I452" s="6" t="inlineStr">
        <is>
          <t>100 g</t>
        </is>
      </c>
      <c r="J452" s="6" t="inlineStr">
        <is>
          <t>NON</t>
        </is>
      </c>
      <c r="K452" s="7" t="inlineStr">
        <is>
          <t>5.5 %</t>
        </is>
      </c>
      <c r="L452" s="8" t="n">
        <v>4.25</v>
      </c>
      <c r="M452" s="9" t="n">
        <v>10.2</v>
      </c>
      <c r="N452" s="10" t="inlineStr">
        <is>
          <t>PROPOSÉ</t>
        </is>
      </c>
      <c r="O452" s="11">
        <f>IF(M452="","",M452-L452)</f>
        <v/>
      </c>
      <c r="P452" s="12">
        <f>IF(OR(M452="",M452=0),"",(M452-L452)/M452)</f>
        <v/>
      </c>
      <c r="Q452" s="13">
        <f>IF(OR(M452="",L452=0,L452=""),"",M452/L452)</f>
        <v/>
      </c>
      <c r="R452" s="11">
        <f>IF(M452="","",M452*1.055)</f>
        <v/>
      </c>
      <c r="S452" s="14" t="n"/>
      <c r="T452" s="15" t="n"/>
    </row>
    <row r="453">
      <c r="A453" s="16" t="inlineStr">
        <is>
          <t>PROD-0274</t>
        </is>
      </c>
      <c r="B453" s="16" t="inlineStr">
        <is>
          <t>MOUTARDE 100g Poivre Voantsy Perifery</t>
        </is>
      </c>
      <c r="C453" s="16" t="inlineStr">
        <is>
          <t>EPICERIE_SALEE</t>
        </is>
      </c>
      <c r="D453" s="16" t="inlineStr">
        <is>
          <t>CONDIMENT</t>
        </is>
      </c>
      <c r="E453" s="16" t="inlineStr">
        <is>
          <t>ESSENTIEL</t>
        </is>
      </c>
      <c r="F453" s="16" t="inlineStr">
        <is>
          <t>BALADES NORMANDES</t>
        </is>
      </c>
      <c r="G453" s="16" t="inlineStr">
        <is>
          <t>NORMAND DIRECT TERROIR</t>
        </is>
      </c>
      <c r="H453" s="16" t="inlineStr"/>
      <c r="I453" s="16" t="inlineStr">
        <is>
          <t>100 g</t>
        </is>
      </c>
      <c r="J453" s="16" t="inlineStr">
        <is>
          <t>NON</t>
        </is>
      </c>
      <c r="K453" s="17" t="inlineStr">
        <is>
          <t>5.5 %</t>
        </is>
      </c>
      <c r="L453" s="18" t="n">
        <v>4.25</v>
      </c>
      <c r="M453" s="9" t="n">
        <v>10.2</v>
      </c>
      <c r="N453" s="10" t="inlineStr">
        <is>
          <t>PROPOSÉ</t>
        </is>
      </c>
      <c r="O453" s="11">
        <f>IF(M453="","",M453-L453)</f>
        <v/>
      </c>
      <c r="P453" s="12">
        <f>IF(OR(M453="",M453=0),"",(M453-L453)/M453)</f>
        <v/>
      </c>
      <c r="Q453" s="13">
        <f>IF(OR(M453="",L453=0,L453=""),"",M453/L453)</f>
        <v/>
      </c>
      <c r="R453" s="11">
        <f>IF(M453="","",M453*1.055)</f>
        <v/>
      </c>
      <c r="S453" s="14" t="n"/>
      <c r="T453" s="15" t="n"/>
    </row>
    <row r="454">
      <c r="A454" s="6" t="inlineStr">
        <is>
          <t>PROD-0164</t>
        </is>
      </c>
      <c r="B454" s="6" t="inlineStr">
        <is>
          <t>Maquereaux marinés 320 grs moutarde</t>
        </is>
      </c>
      <c r="C454" s="6" t="inlineStr">
        <is>
          <t>EPICERIE_SALEE</t>
        </is>
      </c>
      <c r="D454" s="6" t="inlineStr">
        <is>
          <t>CONDIMENT</t>
        </is>
      </c>
      <c r="E454" s="6" t="inlineStr">
        <is>
          <t>ESSENTIEL</t>
        </is>
      </c>
      <c r="F454" s="6" t="inlineStr">
        <is>
          <t>MAISON SAINT LO</t>
        </is>
      </c>
      <c r="G454" s="6" t="inlineStr">
        <is>
          <t>NORMAND DIRECT TERROIR</t>
        </is>
      </c>
      <c r="H454" s="6" t="inlineStr"/>
      <c r="I454" s="6" t="inlineStr">
        <is>
          <t>320 g</t>
        </is>
      </c>
      <c r="J454" s="6" t="inlineStr">
        <is>
          <t>NON</t>
        </is>
      </c>
      <c r="K454" s="7" t="inlineStr">
        <is>
          <t>5.5 %</t>
        </is>
      </c>
      <c r="L454" s="8" t="n">
        <v>4.2</v>
      </c>
      <c r="M454" s="9" t="n">
        <v>10.1</v>
      </c>
      <c r="N454" s="10" t="inlineStr">
        <is>
          <t>PROPOSÉ</t>
        </is>
      </c>
      <c r="O454" s="11">
        <f>IF(M454="","",M454-L454)</f>
        <v/>
      </c>
      <c r="P454" s="12">
        <f>IF(OR(M454="",M454=0),"",(M454-L454)/M454)</f>
        <v/>
      </c>
      <c r="Q454" s="13">
        <f>IF(OR(M454="",L454=0,L454=""),"",M454/L454)</f>
        <v/>
      </c>
      <c r="R454" s="11">
        <f>IF(M454="","",M454*1.055)</f>
        <v/>
      </c>
      <c r="S454" s="14" t="n"/>
      <c r="T454" s="15" t="n"/>
    </row>
    <row r="455">
      <c r="A455" s="16" t="inlineStr">
        <is>
          <t>PROD-0347</t>
        </is>
      </c>
      <c r="B455" s="16" t="inlineStr">
        <is>
          <t>Vinaigre de cidre bio 25 cl</t>
        </is>
      </c>
      <c r="C455" s="16" t="inlineStr">
        <is>
          <t>EPICERIE_SALEE</t>
        </is>
      </c>
      <c r="D455" s="16" t="inlineStr">
        <is>
          <t>VINAIGRE</t>
        </is>
      </c>
      <c r="E455" s="16" t="inlineStr">
        <is>
          <t>ESSENTIEL</t>
        </is>
      </c>
      <c r="F455" s="16" t="inlineStr">
        <is>
          <t>MAISON HEROUT</t>
        </is>
      </c>
      <c r="G455" s="16" t="inlineStr">
        <is>
          <t>NORMAND DIRECT TERROIR</t>
        </is>
      </c>
      <c r="H455" s="16" t="inlineStr"/>
      <c r="I455" s="16" t="inlineStr">
        <is>
          <t>250 ml</t>
        </is>
      </c>
      <c r="J455" s="16" t="inlineStr">
        <is>
          <t>INGREDIENT_ALCOOLISE</t>
        </is>
      </c>
      <c r="K455" s="17" t="inlineStr">
        <is>
          <t>5.5 %</t>
        </is>
      </c>
      <c r="L455" s="18" t="n">
        <v>4.07</v>
      </c>
      <c r="M455" s="9" t="n">
        <v>9.800000000000001</v>
      </c>
      <c r="N455" s="10" t="inlineStr">
        <is>
          <t>PROPOSÉ</t>
        </is>
      </c>
      <c r="O455" s="11">
        <f>IF(M455="","",M455-L455)</f>
        <v/>
      </c>
      <c r="P455" s="12">
        <f>IF(OR(M455="",M455=0),"",(M455-L455)/M455)</f>
        <v/>
      </c>
      <c r="Q455" s="13">
        <f>IF(OR(M455="",L455=0,L455=""),"",M455/L455)</f>
        <v/>
      </c>
      <c r="R455" s="11">
        <f>IF(M455="","",M455*1.055)</f>
        <v/>
      </c>
      <c r="S455" s="14" t="n"/>
      <c r="T455" s="15" t="n"/>
    </row>
    <row r="456">
      <c r="A456" s="6" t="inlineStr">
        <is>
          <t>PROD-0203</t>
        </is>
      </c>
      <c r="B456" s="6" t="inlineStr">
        <is>
          <t>Rillettes maquereaux moutarde 90 grs</t>
        </is>
      </c>
      <c r="C456" s="6" t="inlineStr">
        <is>
          <t>EPICERIE_SALEE</t>
        </is>
      </c>
      <c r="D456" s="6" t="inlineStr">
        <is>
          <t>CONDIMENT</t>
        </is>
      </c>
      <c r="E456" s="6" t="inlineStr">
        <is>
          <t>ESSENTIEL</t>
        </is>
      </c>
      <c r="F456" s="6" t="inlineStr">
        <is>
          <t>MAISON SAINT LO</t>
        </is>
      </c>
      <c r="G456" s="6" t="inlineStr">
        <is>
          <t>NORMAND DIRECT TERROIR</t>
        </is>
      </c>
      <c r="H456" s="6" t="inlineStr"/>
      <c r="I456" s="6" t="inlineStr">
        <is>
          <t>90 g</t>
        </is>
      </c>
      <c r="J456" s="6" t="inlineStr">
        <is>
          <t>NON</t>
        </is>
      </c>
      <c r="K456" s="7" t="inlineStr">
        <is>
          <t>5.5 %</t>
        </is>
      </c>
      <c r="L456" s="8" t="n">
        <v>3.2</v>
      </c>
      <c r="M456" s="9" t="n">
        <v>7.7</v>
      </c>
      <c r="N456" s="10" t="inlineStr">
        <is>
          <t>PROPOSÉ</t>
        </is>
      </c>
      <c r="O456" s="11">
        <f>IF(M456="","",M456-L456)</f>
        <v/>
      </c>
      <c r="P456" s="12">
        <f>IF(OR(M456="",M456=0),"",(M456-L456)/M456)</f>
        <v/>
      </c>
      <c r="Q456" s="13">
        <f>IF(OR(M456="",L456=0,L456=""),"",M456/L456)</f>
        <v/>
      </c>
      <c r="R456" s="11">
        <f>IF(M456="","",M456*1.055)</f>
        <v/>
      </c>
      <c r="S456" s="14" t="n"/>
      <c r="T456" s="15" t="n"/>
    </row>
    <row r="457">
      <c r="A457" s="16" t="inlineStr">
        <is>
          <t>PROD-0208</t>
        </is>
      </c>
      <c r="B457" s="16" t="inlineStr">
        <is>
          <t>Rillettes de saumon au confit d'oignon 90 grs</t>
        </is>
      </c>
      <c r="C457" s="16" t="inlineStr">
        <is>
          <t>EPICERIE_SALEE</t>
        </is>
      </c>
      <c r="D457" s="16" t="inlineStr">
        <is>
          <t>CONDIMENT</t>
        </is>
      </c>
      <c r="E457" s="16" t="inlineStr">
        <is>
          <t>ESSENTIEL</t>
        </is>
      </c>
      <c r="F457" s="16" t="inlineStr">
        <is>
          <t>MAISON SAINT LO</t>
        </is>
      </c>
      <c r="G457" s="16" t="inlineStr">
        <is>
          <t>NORMAND DIRECT TERROIR</t>
        </is>
      </c>
      <c r="H457" s="16" t="inlineStr"/>
      <c r="I457" s="16" t="inlineStr">
        <is>
          <t>90 g</t>
        </is>
      </c>
      <c r="J457" s="16" t="inlineStr">
        <is>
          <t>NON</t>
        </is>
      </c>
      <c r="K457" s="17" t="inlineStr">
        <is>
          <t>5.5 %</t>
        </is>
      </c>
      <c r="L457" s="18" t="n">
        <v>3.2</v>
      </c>
      <c r="M457" s="9" t="n">
        <v>7.7</v>
      </c>
      <c r="N457" s="10" t="inlineStr">
        <is>
          <t>PROPOSÉ</t>
        </is>
      </c>
      <c r="O457" s="11">
        <f>IF(M457="","",M457-L457)</f>
        <v/>
      </c>
      <c r="P457" s="12">
        <f>IF(OR(M457="",M457=0),"",(M457-L457)/M457)</f>
        <v/>
      </c>
      <c r="Q457" s="13">
        <f>IF(OR(M457="",L457=0,L457=""),"",M457/L457)</f>
        <v/>
      </c>
      <c r="R457" s="11">
        <f>IF(M457="","",M457*1.055)</f>
        <v/>
      </c>
      <c r="S457" s="14" t="n"/>
      <c r="T457" s="15" t="n"/>
    </row>
    <row r="458">
      <c r="A458" s="6" t="inlineStr">
        <is>
          <t>PROD-0211</t>
        </is>
      </c>
      <c r="B458" s="6" t="inlineStr">
        <is>
          <t>Rillettes de truite moutarde ancienne 90 grs</t>
        </is>
      </c>
      <c r="C458" s="6" t="inlineStr">
        <is>
          <t>EPICERIE_SALEE</t>
        </is>
      </c>
      <c r="D458" s="6" t="inlineStr">
        <is>
          <t>CONDIMENT</t>
        </is>
      </c>
      <c r="E458" s="6" t="inlineStr">
        <is>
          <t>ESSENTIEL</t>
        </is>
      </c>
      <c r="F458" s="6" t="inlineStr">
        <is>
          <t>MAISON SAINT LO</t>
        </is>
      </c>
      <c r="G458" s="6" t="inlineStr">
        <is>
          <t>NORMAND DIRECT TERROIR</t>
        </is>
      </c>
      <c r="H458" s="6" t="inlineStr"/>
      <c r="I458" s="6" t="inlineStr">
        <is>
          <t>90 g</t>
        </is>
      </c>
      <c r="J458" s="6" t="inlineStr">
        <is>
          <t>NON</t>
        </is>
      </c>
      <c r="K458" s="7" t="inlineStr">
        <is>
          <t>5.5 %</t>
        </is>
      </c>
      <c r="L458" s="8" t="n">
        <v>3.2</v>
      </c>
      <c r="M458" s="9" t="n">
        <v>7.7</v>
      </c>
      <c r="N458" s="10" t="inlineStr">
        <is>
          <t>PROPOSÉ</t>
        </is>
      </c>
      <c r="O458" s="11">
        <f>IF(M458="","",M458-L458)</f>
        <v/>
      </c>
      <c r="P458" s="12">
        <f>IF(OR(M458="",M458=0),"",(M458-L458)/M458)</f>
        <v/>
      </c>
      <c r="Q458" s="13">
        <f>IF(OR(M458="",L458=0,L458=""),"",M458/L458)</f>
        <v/>
      </c>
      <c r="R458" s="11">
        <f>IF(M458="","",M458*1.055)</f>
        <v/>
      </c>
      <c r="S458" s="14" t="n"/>
      <c r="T458" s="15" t="n"/>
    </row>
    <row r="459">
      <c r="A459" s="16" t="inlineStr">
        <is>
          <t>PROD-0214</t>
        </is>
      </c>
      <c r="B459" s="16" t="inlineStr">
        <is>
          <t>Rillettes sardine confit d'oignon 90 grs</t>
        </is>
      </c>
      <c r="C459" s="16" t="inlineStr">
        <is>
          <t>EPICERIE_SALEE</t>
        </is>
      </c>
      <c r="D459" s="16" t="inlineStr">
        <is>
          <t>CONDIMENT</t>
        </is>
      </c>
      <c r="E459" s="16" t="inlineStr">
        <is>
          <t>ESSENTIEL</t>
        </is>
      </c>
      <c r="F459" s="16" t="inlineStr">
        <is>
          <t>MAISON SAINT LO</t>
        </is>
      </c>
      <c r="G459" s="16" t="inlineStr">
        <is>
          <t>NORMAND DIRECT TERROIR</t>
        </is>
      </c>
      <c r="H459" s="16" t="inlineStr"/>
      <c r="I459" s="16" t="inlineStr">
        <is>
          <t>90 g</t>
        </is>
      </c>
      <c r="J459" s="16" t="inlineStr">
        <is>
          <t>NON</t>
        </is>
      </c>
      <c r="K459" s="17" t="inlineStr">
        <is>
          <t>5.5 %</t>
        </is>
      </c>
      <c r="L459" s="18" t="n">
        <v>3.2</v>
      </c>
      <c r="M459" s="9" t="n">
        <v>7.7</v>
      </c>
      <c r="N459" s="10" t="inlineStr">
        <is>
          <t>PROPOSÉ</t>
        </is>
      </c>
      <c r="O459" s="11">
        <f>IF(M459="","",M459-L459)</f>
        <v/>
      </c>
      <c r="P459" s="12">
        <f>IF(OR(M459="",M459=0),"",(M459-L459)/M459)</f>
        <v/>
      </c>
      <c r="Q459" s="13">
        <f>IF(OR(M459="",L459=0,L459=""),"",M459/L459)</f>
        <v/>
      </c>
      <c r="R459" s="11">
        <f>IF(M459="","",M459*1.055)</f>
        <v/>
      </c>
      <c r="S459" s="14" t="n"/>
      <c r="T459" s="15" t="n"/>
    </row>
    <row r="460">
      <c r="A460" s="6" t="inlineStr">
        <is>
          <t>PROD-0369</t>
        </is>
      </c>
      <c r="B460" s="6" t="inlineStr">
        <is>
          <t>Aigrette de Claids (vinaigre de cidre) 50 cl</t>
        </is>
      </c>
      <c r="C460" s="6" t="inlineStr">
        <is>
          <t>EPICERIE_SALEE</t>
        </is>
      </c>
      <c r="D460" s="6" t="inlineStr">
        <is>
          <t>VINAIGRE</t>
        </is>
      </c>
      <c r="E460" s="6" t="inlineStr">
        <is>
          <t>ESSENTIEL</t>
        </is>
      </c>
      <c r="F460" s="6" t="inlineStr">
        <is>
          <t>GAEC DE CLAIDS</t>
        </is>
      </c>
      <c r="G460" s="6" t="inlineStr">
        <is>
          <t>NORMAND DIRECT TERROIR</t>
        </is>
      </c>
      <c r="H460" s="6" t="inlineStr"/>
      <c r="I460" s="6" t="inlineStr">
        <is>
          <t>500 ml</t>
        </is>
      </c>
      <c r="J460" s="6" t="inlineStr">
        <is>
          <t>INGREDIENT_ALCOOLISE</t>
        </is>
      </c>
      <c r="K460" s="7" t="inlineStr">
        <is>
          <t>5.5 %</t>
        </is>
      </c>
      <c r="L460" s="8" t="n">
        <v>3.15</v>
      </c>
      <c r="M460" s="9" t="n">
        <v>7.6</v>
      </c>
      <c r="N460" s="10" t="inlineStr">
        <is>
          <t>PROPOSÉ</t>
        </is>
      </c>
      <c r="O460" s="11">
        <f>IF(M460="","",M460-L460)</f>
        <v/>
      </c>
      <c r="P460" s="12">
        <f>IF(OR(M460="",M460=0),"",(M460-L460)/M460)</f>
        <v/>
      </c>
      <c r="Q460" s="13">
        <f>IF(OR(M460="",L460=0,L460=""),"",M460/L460)</f>
        <v/>
      </c>
      <c r="R460" s="11">
        <f>IF(M460="","",M460*1.055)</f>
        <v/>
      </c>
      <c r="S460" s="14" t="n"/>
      <c r="T460" s="15" t="n"/>
    </row>
    <row r="461">
      <c r="A461" s="16" t="inlineStr">
        <is>
          <t>PROD-0063</t>
        </is>
      </c>
      <c r="B461" s="16" t="inlineStr">
        <is>
          <t>Confit d'oignons 100 gr</t>
        </is>
      </c>
      <c r="C461" s="16" t="inlineStr">
        <is>
          <t>EPICERIE_SALEE</t>
        </is>
      </c>
      <c r="D461" s="16" t="inlineStr">
        <is>
          <t>CONDIMENT</t>
        </is>
      </c>
      <c r="E461" s="16" t="inlineStr">
        <is>
          <t>ESSENTIEL</t>
        </is>
      </c>
      <c r="F461" s="16" t="inlineStr">
        <is>
          <t>LE PÈRE ROUPSARD</t>
        </is>
      </c>
      <c r="G461" s="16" t="inlineStr">
        <is>
          <t>NORMAND DIRECT TERROIR</t>
        </is>
      </c>
      <c r="H461" s="16" t="inlineStr"/>
      <c r="I461" s="16" t="inlineStr">
        <is>
          <t>100 g</t>
        </is>
      </c>
      <c r="J461" s="16" t="inlineStr">
        <is>
          <t>NON</t>
        </is>
      </c>
      <c r="K461" s="17" t="inlineStr">
        <is>
          <t>5.5 %</t>
        </is>
      </c>
      <c r="L461" s="18" t="n">
        <v>3.02</v>
      </c>
      <c r="M461" s="9" t="n">
        <v>7.2</v>
      </c>
      <c r="N461" s="10" t="inlineStr">
        <is>
          <t>PROPOSÉ</t>
        </is>
      </c>
      <c r="O461" s="11">
        <f>IF(M461="","",M461-L461)</f>
        <v/>
      </c>
      <c r="P461" s="12">
        <f>IF(OR(M461="",M461=0),"",(M461-L461)/M461)</f>
        <v/>
      </c>
      <c r="Q461" s="13">
        <f>IF(OR(M461="",L461=0,L461=""),"",M461/L461)</f>
        <v/>
      </c>
      <c r="R461" s="11">
        <f>IF(M461="","",M461*1.055)</f>
        <v/>
      </c>
      <c r="S461" s="14" t="n"/>
      <c r="T461" s="15" t="n"/>
    </row>
    <row r="462">
      <c r="A462" s="6" t="inlineStr">
        <is>
          <t>PROD-0064</t>
        </is>
      </c>
      <c r="B462" s="6" t="inlineStr">
        <is>
          <t>Chutney de figue 100 gr</t>
        </is>
      </c>
      <c r="C462" s="6" t="inlineStr">
        <is>
          <t>EPICERIE_SALEE</t>
        </is>
      </c>
      <c r="D462" s="6" t="inlineStr">
        <is>
          <t>CONDIMENT</t>
        </is>
      </c>
      <c r="E462" s="6" t="inlineStr">
        <is>
          <t>ESSENTIEL</t>
        </is>
      </c>
      <c r="F462" s="6" t="inlineStr">
        <is>
          <t>LE PÈRE ROUPSARD</t>
        </is>
      </c>
      <c r="G462" s="6" t="inlineStr">
        <is>
          <t>NORMAND DIRECT TERROIR</t>
        </is>
      </c>
      <c r="H462" s="6" t="inlineStr"/>
      <c r="I462" s="6" t="inlineStr">
        <is>
          <t>100 g</t>
        </is>
      </c>
      <c r="J462" s="6" t="inlineStr">
        <is>
          <t>NON</t>
        </is>
      </c>
      <c r="K462" s="7" t="inlineStr">
        <is>
          <t>5.5 %</t>
        </is>
      </c>
      <c r="L462" s="8" t="n">
        <v>3.02</v>
      </c>
      <c r="M462" s="9" t="n">
        <v>7.2</v>
      </c>
      <c r="N462" s="10" t="inlineStr">
        <is>
          <t>PROPOSÉ</t>
        </is>
      </c>
      <c r="O462" s="11">
        <f>IF(M462="","",M462-L462)</f>
        <v/>
      </c>
      <c r="P462" s="12">
        <f>IF(OR(M462="",M462=0),"",(M462-L462)/M462)</f>
        <v/>
      </c>
      <c r="Q462" s="13">
        <f>IF(OR(M462="",L462=0,L462=""),"",M462/L462)</f>
        <v/>
      </c>
      <c r="R462" s="11">
        <f>IF(M462="","",M462*1.055)</f>
        <v/>
      </c>
      <c r="S462" s="14" t="n"/>
      <c r="T462" s="15" t="n"/>
    </row>
    <row r="463">
      <c r="A463" s="16" t="inlineStr">
        <is>
          <t>PROD-0065</t>
        </is>
      </c>
      <c r="B463" s="16" t="inlineStr">
        <is>
          <t>Chutney de pomme 100 gr</t>
        </is>
      </c>
      <c r="C463" s="16" t="inlineStr">
        <is>
          <t>EPICERIE_SALEE</t>
        </is>
      </c>
      <c r="D463" s="16" t="inlineStr">
        <is>
          <t>CONDIMENT</t>
        </is>
      </c>
      <c r="E463" s="16" t="inlineStr">
        <is>
          <t>ESSENTIEL</t>
        </is>
      </c>
      <c r="F463" s="16" t="inlineStr">
        <is>
          <t>LE PÈRE ROUPSARD</t>
        </is>
      </c>
      <c r="G463" s="16" t="inlineStr">
        <is>
          <t>NORMAND DIRECT TERROIR</t>
        </is>
      </c>
      <c r="H463" s="16" t="inlineStr"/>
      <c r="I463" s="16" t="inlineStr">
        <is>
          <t>100 g</t>
        </is>
      </c>
      <c r="J463" s="16" t="inlineStr">
        <is>
          <t>NON</t>
        </is>
      </c>
      <c r="K463" s="17" t="inlineStr">
        <is>
          <t>5.5 %</t>
        </is>
      </c>
      <c r="L463" s="18" t="n">
        <v>3.02</v>
      </c>
      <c r="M463" s="9" t="n">
        <v>7.2</v>
      </c>
      <c r="N463" s="10" t="inlineStr">
        <is>
          <t>PROPOSÉ</t>
        </is>
      </c>
      <c r="O463" s="11">
        <f>IF(M463="","",M463-L463)</f>
        <v/>
      </c>
      <c r="P463" s="12">
        <f>IF(OR(M463="",M463=0),"",(M463-L463)/M463)</f>
        <v/>
      </c>
      <c r="Q463" s="13">
        <f>IF(OR(M463="",L463=0,L463=""),"",M463/L463)</f>
        <v/>
      </c>
      <c r="R463" s="11">
        <f>IF(M463="","",M463*1.055)</f>
        <v/>
      </c>
      <c r="S463" s="14" t="n"/>
      <c r="T463" s="15" t="n"/>
    </row>
    <row r="464">
      <c r="A464" s="6" t="inlineStr">
        <is>
          <t>PROD-0059</t>
        </is>
      </c>
      <c r="B464" s="6" t="inlineStr">
        <is>
          <t>Moutarde pommeau 100 gr</t>
        </is>
      </c>
      <c r="C464" s="6" t="inlineStr">
        <is>
          <t>EPICERIE_SALEE</t>
        </is>
      </c>
      <c r="D464" s="6" t="inlineStr">
        <is>
          <t>CONDIMENT</t>
        </is>
      </c>
      <c r="E464" s="6" t="inlineStr">
        <is>
          <t>ESSENTIEL</t>
        </is>
      </c>
      <c r="F464" s="6" t="inlineStr">
        <is>
          <t>LE PÈRE ROUPSARD</t>
        </is>
      </c>
      <c r="G464" s="6" t="inlineStr">
        <is>
          <t>NORMAND DIRECT TERROIR</t>
        </is>
      </c>
      <c r="H464" s="6" t="inlineStr"/>
      <c r="I464" s="6" t="inlineStr">
        <is>
          <t>100 g</t>
        </is>
      </c>
      <c r="J464" s="6" t="inlineStr">
        <is>
          <t>INGREDIENT_ALCOOLISE</t>
        </is>
      </c>
      <c r="K464" s="7" t="inlineStr">
        <is>
          <t>5.5 %</t>
        </is>
      </c>
      <c r="L464" s="8" t="n">
        <v>2.6</v>
      </c>
      <c r="M464" s="9" t="n">
        <v>6.9</v>
      </c>
      <c r="N464" s="10" t="inlineStr">
        <is>
          <t>PROPOSÉ</t>
        </is>
      </c>
      <c r="O464" s="11">
        <f>IF(M464="","",M464-L464)</f>
        <v/>
      </c>
      <c r="P464" s="12">
        <f>IF(OR(M464="",M464=0),"",(M464-L464)/M464)</f>
        <v/>
      </c>
      <c r="Q464" s="13">
        <f>IF(OR(M464="",L464=0,L464=""),"",M464/L464)</f>
        <v/>
      </c>
      <c r="R464" s="11">
        <f>IF(M464="","",M464*1.055)</f>
        <v/>
      </c>
      <c r="S464" s="14" t="n"/>
      <c r="T464" s="15" t="n"/>
    </row>
    <row r="465">
      <c r="A465" s="16" t="inlineStr">
        <is>
          <t>PROD-0060</t>
        </is>
      </c>
      <c r="B465" s="16" t="inlineStr">
        <is>
          <t>Moutarde Calvados 100 gr</t>
        </is>
      </c>
      <c r="C465" s="16" t="inlineStr">
        <is>
          <t>EPICERIE_SALEE</t>
        </is>
      </c>
      <c r="D465" s="16" t="inlineStr">
        <is>
          <t>CONDIMENT</t>
        </is>
      </c>
      <c r="E465" s="16" t="inlineStr">
        <is>
          <t>ESSENTIEL</t>
        </is>
      </c>
      <c r="F465" s="16" t="inlineStr">
        <is>
          <t>LE PÈRE ROUPSARD</t>
        </is>
      </c>
      <c r="G465" s="16" t="inlineStr">
        <is>
          <t>NORMAND DIRECT TERROIR</t>
        </is>
      </c>
      <c r="H465" s="16" t="inlineStr"/>
      <c r="I465" s="16" t="inlineStr">
        <is>
          <t>100 g</t>
        </is>
      </c>
      <c r="J465" s="16" t="inlineStr">
        <is>
          <t>INGREDIENT_ALCOOLISE</t>
        </is>
      </c>
      <c r="K465" s="17" t="inlineStr">
        <is>
          <t>5.5 %</t>
        </is>
      </c>
      <c r="L465" s="18" t="n">
        <v>2.6</v>
      </c>
      <c r="M465" s="9" t="n">
        <v>6.9</v>
      </c>
      <c r="N465" s="10" t="inlineStr">
        <is>
          <t>PROPOSÉ</t>
        </is>
      </c>
      <c r="O465" s="11">
        <f>IF(M465="","",M465-L465)</f>
        <v/>
      </c>
      <c r="P465" s="12">
        <f>IF(OR(M465="",M465=0),"",(M465-L465)/M465)</f>
        <v/>
      </c>
      <c r="Q465" s="13">
        <f>IF(OR(M465="",L465=0,L465=""),"",M465/L465)</f>
        <v/>
      </c>
      <c r="R465" s="11">
        <f>IF(M465="","",M465*1.055)</f>
        <v/>
      </c>
      <c r="S465" s="14" t="n"/>
      <c r="T465" s="15" t="n"/>
    </row>
    <row r="466">
      <c r="A466" s="6" t="inlineStr">
        <is>
          <t>PROD-0061</t>
        </is>
      </c>
      <c r="B466" s="6" t="inlineStr">
        <is>
          <t>Moutarde pomme 100 gr</t>
        </is>
      </c>
      <c r="C466" s="6" t="inlineStr">
        <is>
          <t>EPICERIE_SALEE</t>
        </is>
      </c>
      <c r="D466" s="6" t="inlineStr">
        <is>
          <t>CONDIMENT</t>
        </is>
      </c>
      <c r="E466" s="6" t="inlineStr">
        <is>
          <t>ESSENTIEL</t>
        </is>
      </c>
      <c r="F466" s="6" t="inlineStr">
        <is>
          <t>LE PÈRE ROUPSARD</t>
        </is>
      </c>
      <c r="G466" s="6" t="inlineStr">
        <is>
          <t>NORMAND DIRECT TERROIR</t>
        </is>
      </c>
      <c r="H466" s="6" t="inlineStr"/>
      <c r="I466" s="6" t="inlineStr">
        <is>
          <t>100 g</t>
        </is>
      </c>
      <c r="J466" s="6" t="inlineStr">
        <is>
          <t>NON</t>
        </is>
      </c>
      <c r="K466" s="7" t="inlineStr">
        <is>
          <t>5.5 %</t>
        </is>
      </c>
      <c r="L466" s="8" t="n">
        <v>2.6</v>
      </c>
      <c r="M466" s="9" t="n">
        <v>6.9</v>
      </c>
      <c r="N466" s="10" t="inlineStr">
        <is>
          <t>PROPOSÉ</t>
        </is>
      </c>
      <c r="O466" s="11">
        <f>IF(M466="","",M466-L466)</f>
        <v/>
      </c>
      <c r="P466" s="12">
        <f>IF(OR(M466="",M466=0),"",(M466-L466)/M466)</f>
        <v/>
      </c>
      <c r="Q466" s="13">
        <f>IF(OR(M466="",L466=0,L466=""),"",M466/L466)</f>
        <v/>
      </c>
      <c r="R466" s="11">
        <f>IF(M466="","",M466*1.055)</f>
        <v/>
      </c>
      <c r="S466" s="14" t="n"/>
      <c r="T466" s="15" t="n"/>
    </row>
    <row r="467">
      <c r="A467" s="16" t="inlineStr">
        <is>
          <t>PROD-0062</t>
        </is>
      </c>
      <c r="B467" s="16" t="inlineStr">
        <is>
          <t>Moutarde framboise 100 gr</t>
        </is>
      </c>
      <c r="C467" s="16" t="inlineStr">
        <is>
          <t>EPICERIE_SALEE</t>
        </is>
      </c>
      <c r="D467" s="16" t="inlineStr">
        <is>
          <t>CONDIMENT</t>
        </is>
      </c>
      <c r="E467" s="16" t="inlineStr">
        <is>
          <t>ESSENTIEL</t>
        </is>
      </c>
      <c r="F467" s="16" t="inlineStr">
        <is>
          <t>LE PÈRE ROUPSARD</t>
        </is>
      </c>
      <c r="G467" s="16" t="inlineStr">
        <is>
          <t>NORMAND DIRECT TERROIR</t>
        </is>
      </c>
      <c r="H467" s="16" t="inlineStr"/>
      <c r="I467" s="16" t="inlineStr">
        <is>
          <t>100 g</t>
        </is>
      </c>
      <c r="J467" s="16" t="inlineStr">
        <is>
          <t>NON</t>
        </is>
      </c>
      <c r="K467" s="17" t="inlineStr">
        <is>
          <t>5.5 %</t>
        </is>
      </c>
      <c r="L467" s="18" t="n">
        <v>2.6</v>
      </c>
      <c r="M467" s="9" t="n">
        <v>6.9</v>
      </c>
      <c r="N467" s="10" t="inlineStr">
        <is>
          <t>PROPOSÉ</t>
        </is>
      </c>
      <c r="O467" s="11">
        <f>IF(M467="","",M467-L467)</f>
        <v/>
      </c>
      <c r="P467" s="12">
        <f>IF(OR(M467="",M467=0),"",(M467-L467)/M467)</f>
        <v/>
      </c>
      <c r="Q467" s="13">
        <f>IF(OR(M467="",L467=0,L467=""),"",M467/L467)</f>
        <v/>
      </c>
      <c r="R467" s="11">
        <f>IF(M467="","",M467*1.055)</f>
        <v/>
      </c>
      <c r="S467" s="14" t="n"/>
      <c r="T467" s="15" t="n"/>
    </row>
    <row r="468">
      <c r="A468" s="6" t="inlineStr">
        <is>
          <t>PROD-0671</t>
        </is>
      </c>
      <c r="B468" s="6" t="inlineStr">
        <is>
          <t>Vinaigre de Cidre</t>
        </is>
      </c>
      <c r="C468" s="6" t="inlineStr">
        <is>
          <t>EPICERIE_SALEE</t>
        </is>
      </c>
      <c r="D468" s="6" t="inlineStr">
        <is>
          <t>VINAIGRE</t>
        </is>
      </c>
      <c r="E468" s="6" t="inlineStr">
        <is>
          <t>ESSENTIEL</t>
        </is>
      </c>
      <c r="F468" s="6" t="inlineStr">
        <is>
          <t>SARL DOMAINE DE BILLY</t>
        </is>
      </c>
      <c r="G468" s="6" t="inlineStr">
        <is>
          <t>SARL DOMAINE DE BILLY</t>
        </is>
      </c>
      <c r="H468" s="6" t="inlineStr">
        <is>
          <t>50cl</t>
        </is>
      </c>
      <c r="I468" s="6" t="inlineStr">
        <is>
          <t>500 ml</t>
        </is>
      </c>
      <c r="J468" s="6" t="inlineStr">
        <is>
          <t>INGREDIENT_ALCOOLISE</t>
        </is>
      </c>
      <c r="K468" s="19" t="inlineStr">
        <is>
          <t>À CONFIRMER</t>
        </is>
      </c>
      <c r="L468" s="8" t="n">
        <v>2.3</v>
      </c>
      <c r="M468" s="9" t="n">
        <v>6.1</v>
      </c>
      <c r="N468" s="10" t="inlineStr">
        <is>
          <t>PROPOSÉ</t>
        </is>
      </c>
      <c r="O468" s="11">
        <f>IF(M468="","",M468-L468)</f>
        <v/>
      </c>
      <c r="P468" s="12">
        <f>IF(OR(M468="",M468=0),"",(M468-L468)/M468)</f>
        <v/>
      </c>
      <c r="Q468" s="13">
        <f>IF(OR(M468="",L468=0,L468=""),"",M468/L468)</f>
        <v/>
      </c>
      <c r="R468" s="11">
        <f>IF(M468="","","TVA à confirmer")</f>
        <v/>
      </c>
      <c r="S468" s="14" t="n"/>
      <c r="T468" s="15" t="n"/>
    </row>
    <row r="469">
      <c r="A469" s="16" t="inlineStr">
        <is>
          <t>PROD-0459</t>
        </is>
      </c>
      <c r="B469" s="16" t="inlineStr">
        <is>
          <t>Vinaigre de Miel 50cl (fait a façon)</t>
        </is>
      </c>
      <c r="C469" s="16" t="inlineStr">
        <is>
          <t>EPICERIE_SALEE</t>
        </is>
      </c>
      <c r="D469" s="16" t="inlineStr">
        <is>
          <t>VINAIGRE</t>
        </is>
      </c>
      <c r="E469" s="16" t="inlineStr">
        <is>
          <t>SIGNATURE</t>
        </is>
      </c>
      <c r="F469" s="16" t="inlineStr">
        <is>
          <t>Rucher du bocage Virois</t>
        </is>
      </c>
      <c r="G469" s="16" t="inlineStr">
        <is>
          <t>NORMAND DIRECT TERROIR</t>
        </is>
      </c>
      <c r="H469" s="16" t="inlineStr"/>
      <c r="I469" s="16" t="inlineStr">
        <is>
          <t>500 ml</t>
        </is>
      </c>
      <c r="J469" s="16" t="inlineStr">
        <is>
          <t>NON</t>
        </is>
      </c>
      <c r="K469" s="17" t="inlineStr">
        <is>
          <t>5.5 %</t>
        </is>
      </c>
      <c r="L469" s="18" t="n">
        <v>5.95</v>
      </c>
      <c r="M469" s="9" t="n">
        <v>14.3</v>
      </c>
      <c r="N469" s="10" t="inlineStr">
        <is>
          <t>PROPOSÉ</t>
        </is>
      </c>
      <c r="O469" s="11">
        <f>IF(M469="","",M469-L469)</f>
        <v/>
      </c>
      <c r="P469" s="12">
        <f>IF(OR(M469="",M469=0),"",(M469-L469)/M469)</f>
        <v/>
      </c>
      <c r="Q469" s="13">
        <f>IF(OR(M469="",L469=0,L469=""),"",M469/L469)</f>
        <v/>
      </c>
      <c r="R469" s="11">
        <f>IF(M469="","",M469*1.055)</f>
        <v/>
      </c>
      <c r="S469" s="14" t="n"/>
      <c r="T469" s="15" t="n"/>
    </row>
    <row r="470">
      <c r="A470" s="6" t="inlineStr">
        <is>
          <t>PROD-0348</t>
        </is>
      </c>
      <c r="B470" s="6" t="inlineStr">
        <is>
          <t>Vinaigre de cidre bio 50 cl</t>
        </is>
      </c>
      <c r="C470" s="6" t="inlineStr">
        <is>
          <t>EPICERIE_SALEE</t>
        </is>
      </c>
      <c r="D470" s="6" t="inlineStr">
        <is>
          <t>VINAIGRE</t>
        </is>
      </c>
      <c r="E470" s="6" t="inlineStr">
        <is>
          <t>SIGNATURE</t>
        </is>
      </c>
      <c r="F470" s="6" t="inlineStr">
        <is>
          <t>MAISON HEROUT</t>
        </is>
      </c>
      <c r="G470" s="6" t="inlineStr">
        <is>
          <t>NORMAND DIRECT TERROIR</t>
        </is>
      </c>
      <c r="H470" s="6" t="inlineStr"/>
      <c r="I470" s="6" t="inlineStr">
        <is>
          <t>500 ml</t>
        </is>
      </c>
      <c r="J470" s="6" t="inlineStr">
        <is>
          <t>INGREDIENT_ALCOOLISE</t>
        </is>
      </c>
      <c r="K470" s="7" t="inlineStr">
        <is>
          <t>5.5 %</t>
        </is>
      </c>
      <c r="L470" s="8" t="n">
        <v>5.94</v>
      </c>
      <c r="M470" s="9" t="n">
        <v>14.3</v>
      </c>
      <c r="N470" s="10" t="inlineStr">
        <is>
          <t>PROPOSÉ</t>
        </is>
      </c>
      <c r="O470" s="11">
        <f>IF(M470="","",M470-L470)</f>
        <v/>
      </c>
      <c r="P470" s="12">
        <f>IF(OR(M470="",M470=0),"",(M470-L470)/M470)</f>
        <v/>
      </c>
      <c r="Q470" s="13">
        <f>IF(OR(M470="",L470=0,L470=""),"",M470/L470)</f>
        <v/>
      </c>
      <c r="R470" s="11">
        <f>IF(M470="","",M470*1.055)</f>
        <v/>
      </c>
      <c r="S470" s="14" t="n"/>
      <c r="T470" s="15" t="n"/>
    </row>
    <row r="471">
      <c r="A471" s="16" t="inlineStr">
        <is>
          <t>PROD-0471</t>
        </is>
      </c>
      <c r="B471" s="16" t="inlineStr">
        <is>
          <t>Balsamique de pommes "onctueux"  20cl</t>
        </is>
      </c>
      <c r="C471" s="16" t="inlineStr">
        <is>
          <t>EPICERIE_SALEE</t>
        </is>
      </c>
      <c r="D471" s="16" t="inlineStr">
        <is>
          <t>CONDIMENT</t>
        </is>
      </c>
      <c r="E471" s="16" t="inlineStr">
        <is>
          <t>PREMIUM</t>
        </is>
      </c>
      <c r="F471" s="16" t="inlineStr">
        <is>
          <t>DOMAINE DES HAUTS VENTS</t>
        </is>
      </c>
      <c r="G471" s="16" t="inlineStr">
        <is>
          <t>NORMAND DIRECT TERROIR</t>
        </is>
      </c>
      <c r="H471" s="16" t="inlineStr"/>
      <c r="I471" s="16" t="inlineStr">
        <is>
          <t>200 ml</t>
        </is>
      </c>
      <c r="J471" s="16" t="inlineStr">
        <is>
          <t>NON</t>
        </is>
      </c>
      <c r="K471" s="17" t="inlineStr">
        <is>
          <t>5.5 %</t>
        </is>
      </c>
      <c r="L471" s="18" t="n">
        <v>11.6</v>
      </c>
      <c r="M471" s="9" t="n">
        <v>25.5</v>
      </c>
      <c r="N471" s="10" t="inlineStr">
        <is>
          <t>PROPOSÉ</t>
        </is>
      </c>
      <c r="O471" s="11">
        <f>IF(M471="","",M471-L471)</f>
        <v/>
      </c>
      <c r="P471" s="12">
        <f>IF(OR(M471="",M471=0),"",(M471-L471)/M471)</f>
        <v/>
      </c>
      <c r="Q471" s="13">
        <f>IF(OR(M471="",L471=0,L471=""),"",M471/L471)</f>
        <v/>
      </c>
      <c r="R471" s="11">
        <f>IF(M471="","",M471*1.055)</f>
        <v/>
      </c>
      <c r="S471" s="14" t="n"/>
      <c r="T471" s="15" t="n"/>
    </row>
    <row r="472">
      <c r="A472" s="6" t="inlineStr">
        <is>
          <t>PROD-0630</t>
        </is>
      </c>
      <c r="B472" s="6" t="inlineStr">
        <is>
          <t>COULIS DE CARAMEL À LA VANILLE</t>
        </is>
      </c>
      <c r="C472" s="6" t="inlineStr">
        <is>
          <t>EPICERIE_SUCREE</t>
        </is>
      </c>
      <c r="D472" s="6" t="inlineStr">
        <is>
          <t>CARAMEL_A_TARTINER</t>
        </is>
      </c>
      <c r="E472" s="6" t="inlineStr">
        <is>
          <t>ESSENTIEL</t>
        </is>
      </c>
      <c r="F472" s="6" t="inlineStr">
        <is>
          <t>CARAMELS D'ISIGNY</t>
        </is>
      </c>
      <c r="G472" s="6" t="inlineStr">
        <is>
          <t>CARAMELS D'ISIGNY</t>
        </is>
      </c>
      <c r="H472" s="6" t="inlineStr">
        <is>
          <t>320G</t>
        </is>
      </c>
      <c r="I472" s="6" t="inlineStr">
        <is>
          <t>320 g</t>
        </is>
      </c>
      <c r="J472" s="6" t="inlineStr">
        <is>
          <t>NON</t>
        </is>
      </c>
      <c r="K472" s="7" t="inlineStr">
        <is>
          <t>5.5 %</t>
        </is>
      </c>
      <c r="L472" s="8" t="n">
        <v>4.81</v>
      </c>
      <c r="M472" s="9" t="n">
        <v>11.5</v>
      </c>
      <c r="N472" s="10" t="inlineStr">
        <is>
          <t>PROPOSÉ</t>
        </is>
      </c>
      <c r="O472" s="11">
        <f>IF(M472="","",M472-L472)</f>
        <v/>
      </c>
      <c r="P472" s="12">
        <f>IF(OR(M472="",M472=0),"",(M472-L472)/M472)</f>
        <v/>
      </c>
      <c r="Q472" s="13">
        <f>IF(OR(M472="",L472=0,L472=""),"",M472/L472)</f>
        <v/>
      </c>
      <c r="R472" s="11">
        <f>IF(M472="","",M472*1.055)</f>
        <v/>
      </c>
      <c r="S472" s="14" t="n"/>
      <c r="T472" s="15" t="n"/>
    </row>
    <row r="473">
      <c r="A473" s="16" t="inlineStr">
        <is>
          <t>PROD-0631</t>
        </is>
      </c>
      <c r="B473" s="16" t="inlineStr">
        <is>
          <t>COULIS DE CARAMEL AU CHOCOLAT</t>
        </is>
      </c>
      <c r="C473" s="16" t="inlineStr">
        <is>
          <t>EPICERIE_SUCREE</t>
        </is>
      </c>
      <c r="D473" s="16" t="inlineStr">
        <is>
          <t>CARAMEL_A_TARTINER</t>
        </is>
      </c>
      <c r="E473" s="16" t="inlineStr">
        <is>
          <t>ESSENTIEL</t>
        </is>
      </c>
      <c r="F473" s="16" t="inlineStr">
        <is>
          <t>CARAMELS D'ISIGNY</t>
        </is>
      </c>
      <c r="G473" s="16" t="inlineStr">
        <is>
          <t>CARAMELS D'ISIGNY</t>
        </is>
      </c>
      <c r="H473" s="16" t="inlineStr">
        <is>
          <t>320G</t>
        </is>
      </c>
      <c r="I473" s="16" t="inlineStr">
        <is>
          <t>320 g</t>
        </is>
      </c>
      <c r="J473" s="16" t="inlineStr">
        <is>
          <t>NON</t>
        </is>
      </c>
      <c r="K473" s="17" t="inlineStr">
        <is>
          <t>5.5 %</t>
        </is>
      </c>
      <c r="L473" s="18" t="n">
        <v>4.81</v>
      </c>
      <c r="M473" s="9" t="n">
        <v>11.5</v>
      </c>
      <c r="N473" s="10" t="inlineStr">
        <is>
          <t>PROPOSÉ</t>
        </is>
      </c>
      <c r="O473" s="11">
        <f>IF(M473="","",M473-L473)</f>
        <v/>
      </c>
      <c r="P473" s="12">
        <f>IF(OR(M473="",M473=0),"",(M473-L473)/M473)</f>
        <v/>
      </c>
      <c r="Q473" s="13">
        <f>IF(OR(M473="",L473=0,L473=""),"",M473/L473)</f>
        <v/>
      </c>
      <c r="R473" s="11">
        <f>IF(M473="","",M473*1.055)</f>
        <v/>
      </c>
      <c r="S473" s="14" t="n"/>
      <c r="T473" s="15" t="n"/>
    </row>
    <row r="474">
      <c r="A474" s="6" t="inlineStr">
        <is>
          <t>PROD-0632</t>
        </is>
      </c>
      <c r="B474" s="6" t="inlineStr">
        <is>
          <t>COULIS DE CARAMEL AU BEURRE SALÉ</t>
        </is>
      </c>
      <c r="C474" s="6" t="inlineStr">
        <is>
          <t>EPICERIE_SUCREE</t>
        </is>
      </c>
      <c r="D474" s="6" t="inlineStr">
        <is>
          <t>CARAMEL_A_TARTINER</t>
        </is>
      </c>
      <c r="E474" s="6" t="inlineStr">
        <is>
          <t>ESSENTIEL</t>
        </is>
      </c>
      <c r="F474" s="6" t="inlineStr">
        <is>
          <t>CARAMELS D'ISIGNY</t>
        </is>
      </c>
      <c r="G474" s="6" t="inlineStr">
        <is>
          <t>CARAMELS D'ISIGNY</t>
        </is>
      </c>
      <c r="H474" s="6" t="inlineStr">
        <is>
          <t>320G</t>
        </is>
      </c>
      <c r="I474" s="6" t="inlineStr">
        <is>
          <t>320 g</t>
        </is>
      </c>
      <c r="J474" s="6" t="inlineStr">
        <is>
          <t>NON</t>
        </is>
      </c>
      <c r="K474" s="7" t="inlineStr">
        <is>
          <t>5.5 %</t>
        </is>
      </c>
      <c r="L474" s="8" t="n">
        <v>4.81</v>
      </c>
      <c r="M474" s="9" t="n">
        <v>11.5</v>
      </c>
      <c r="N474" s="10" t="inlineStr">
        <is>
          <t>PROPOSÉ</t>
        </is>
      </c>
      <c r="O474" s="11">
        <f>IF(M474="","",M474-L474)</f>
        <v/>
      </c>
      <c r="P474" s="12">
        <f>IF(OR(M474="",M474=0),"",(M474-L474)/M474)</f>
        <v/>
      </c>
      <c r="Q474" s="13">
        <f>IF(OR(M474="",L474=0,L474=""),"",M474/L474)</f>
        <v/>
      </c>
      <c r="R474" s="11">
        <f>IF(M474="","",M474*1.055)</f>
        <v/>
      </c>
      <c r="S474" s="14" t="n"/>
      <c r="T474" s="15" t="n"/>
    </row>
    <row r="475">
      <c r="A475" s="16" t="inlineStr">
        <is>
          <t>PROD-0030</t>
        </is>
      </c>
      <c r="B475" s="16" t="inlineStr">
        <is>
          <t>Pâte de pommes 300 grs</t>
        </is>
      </c>
      <c r="C475" s="16" t="inlineStr">
        <is>
          <t>EPICERIE_SUCREE</t>
        </is>
      </c>
      <c r="D475" s="16" t="inlineStr">
        <is>
          <t>CONFITURE_ET_CONFIT</t>
        </is>
      </c>
      <c r="E475" s="16" t="inlineStr">
        <is>
          <t>ESSENTIEL</t>
        </is>
      </c>
      <c r="F475" s="16" t="inlineStr">
        <is>
          <t>BISCUITERIE DE QUINEVILLE</t>
        </is>
      </c>
      <c r="G475" s="16" t="inlineStr">
        <is>
          <t>NORMAND DIRECT TERROIR</t>
        </is>
      </c>
      <c r="H475" s="16" t="inlineStr"/>
      <c r="I475" s="16" t="inlineStr">
        <is>
          <t>300 g</t>
        </is>
      </c>
      <c r="J475" s="16" t="inlineStr">
        <is>
          <t>NON</t>
        </is>
      </c>
      <c r="K475" s="17" t="inlineStr">
        <is>
          <t>20 %</t>
        </is>
      </c>
      <c r="L475" s="18" t="n">
        <v>4.8</v>
      </c>
      <c r="M475" s="9" t="n">
        <v>11.5</v>
      </c>
      <c r="N475" s="10" t="inlineStr">
        <is>
          <t>PROPOSÉ</t>
        </is>
      </c>
      <c r="O475" s="11">
        <f>IF(M475="","",M475-L475)</f>
        <v/>
      </c>
      <c r="P475" s="12">
        <f>IF(OR(M475="",M475=0),"",(M475-L475)/M475)</f>
        <v/>
      </c>
      <c r="Q475" s="13">
        <f>IF(OR(M475="",L475=0,L475=""),"",M475/L475)</f>
        <v/>
      </c>
      <c r="R475" s="11">
        <f>IF(M475="","",M475*1.2)</f>
        <v/>
      </c>
      <c r="S475" s="14" t="n"/>
      <c r="T475" s="15" t="n"/>
    </row>
    <row r="476">
      <c r="A476" s="6" t="inlineStr">
        <is>
          <t>PROD-0442</t>
        </is>
      </c>
      <c r="B476" s="6" t="inlineStr">
        <is>
          <t>Miel de Fleurs de Normandie 250gr</t>
        </is>
      </c>
      <c r="C476" s="6" t="inlineStr">
        <is>
          <t>EPICERIE_SUCREE</t>
        </is>
      </c>
      <c r="D476" s="6" t="inlineStr">
        <is>
          <t>MIEL</t>
        </is>
      </c>
      <c r="E476" s="6" t="inlineStr">
        <is>
          <t>ESSENTIEL</t>
        </is>
      </c>
      <c r="F476" s="6" t="inlineStr">
        <is>
          <t>Rucher du bocage Virois</t>
        </is>
      </c>
      <c r="G476" s="6" t="inlineStr">
        <is>
          <t>NORMAND DIRECT TERROIR</t>
        </is>
      </c>
      <c r="H476" s="6" t="inlineStr"/>
      <c r="I476" s="6" t="inlineStr">
        <is>
          <t>250 g</t>
        </is>
      </c>
      <c r="J476" s="6" t="inlineStr">
        <is>
          <t>NON</t>
        </is>
      </c>
      <c r="K476" s="7" t="inlineStr">
        <is>
          <t>5.5 %</t>
        </is>
      </c>
      <c r="L476" s="8" t="n">
        <v>4.25</v>
      </c>
      <c r="M476" s="9" t="n">
        <v>10.2</v>
      </c>
      <c r="N476" s="10" t="inlineStr">
        <is>
          <t>PROPOSÉ</t>
        </is>
      </c>
      <c r="O476" s="11">
        <f>IF(M476="","",M476-L476)</f>
        <v/>
      </c>
      <c r="P476" s="12">
        <f>IF(OR(M476="",M476=0),"",(M476-L476)/M476)</f>
        <v/>
      </c>
      <c r="Q476" s="13">
        <f>IF(OR(M476="",L476=0,L476=""),"",M476/L476)</f>
        <v/>
      </c>
      <c r="R476" s="11">
        <f>IF(M476="","",M476*1.055)</f>
        <v/>
      </c>
      <c r="S476" s="14" t="n"/>
      <c r="T476" s="15" t="n"/>
    </row>
    <row r="477">
      <c r="A477" s="16" t="inlineStr">
        <is>
          <t>PROD-0629</t>
        </is>
      </c>
      <c r="B477" s="16" t="inlineStr">
        <is>
          <t>CARAMEL BLOND</t>
        </is>
      </c>
      <c r="C477" s="16" t="inlineStr">
        <is>
          <t>EPICERIE_SUCREE</t>
        </is>
      </c>
      <c r="D477" s="16" t="inlineStr">
        <is>
          <t>CARAMEL_A_TARTINER</t>
        </is>
      </c>
      <c r="E477" s="16" t="inlineStr">
        <is>
          <t>ESSENTIEL</t>
        </is>
      </c>
      <c r="F477" s="16" t="inlineStr">
        <is>
          <t>CARAMELS D'ISIGNY</t>
        </is>
      </c>
      <c r="G477" s="16" t="inlineStr">
        <is>
          <t>CARAMELS D'ISIGNY</t>
        </is>
      </c>
      <c r="H477" s="16" t="inlineStr">
        <is>
          <t>320G</t>
        </is>
      </c>
      <c r="I477" s="16" t="inlineStr">
        <is>
          <t>320 g</t>
        </is>
      </c>
      <c r="J477" s="16" t="inlineStr">
        <is>
          <t>NON</t>
        </is>
      </c>
      <c r="K477" s="17" t="inlineStr">
        <is>
          <t>5.5 %</t>
        </is>
      </c>
      <c r="L477" s="18" t="n">
        <v>4.1</v>
      </c>
      <c r="M477" s="9" t="n">
        <v>9.800000000000001</v>
      </c>
      <c r="N477" s="10" t="inlineStr">
        <is>
          <t>PROPOSÉ</t>
        </is>
      </c>
      <c r="O477" s="11">
        <f>IF(M477="","",M477-L477)</f>
        <v/>
      </c>
      <c r="P477" s="12">
        <f>IF(OR(M477="",M477=0),"",(M477-L477)/M477)</f>
        <v/>
      </c>
      <c r="Q477" s="13">
        <f>IF(OR(M477="",L477=0,L477=""),"",M477/L477)</f>
        <v/>
      </c>
      <c r="R477" s="11">
        <f>IF(M477="","",M477*1.055)</f>
        <v/>
      </c>
      <c r="S477" s="14" t="n"/>
      <c r="T477" s="15" t="n"/>
    </row>
    <row r="478">
      <c r="A478" s="6" t="inlineStr">
        <is>
          <t>PROD-0482</t>
        </is>
      </c>
      <c r="B478" s="6" t="inlineStr">
        <is>
          <t>Beurre de Cacahuètes Nature 300g</t>
        </is>
      </c>
      <c r="C478" s="6" t="inlineStr">
        <is>
          <t>EPICERIE_SUCREE</t>
        </is>
      </c>
      <c r="D478" s="6" t="inlineStr">
        <is>
          <t>PATE_A_TARTINER</t>
        </is>
      </c>
      <c r="E478" s="6" t="inlineStr">
        <is>
          <t>ESSENTIEL</t>
        </is>
      </c>
      <c r="F478" s="6" t="inlineStr">
        <is>
          <t>Huète'Ca</t>
        </is>
      </c>
      <c r="G478" s="6" t="inlineStr">
        <is>
          <t>NORMAND DIRECT TERROIR</t>
        </is>
      </c>
      <c r="H478" s="6" t="inlineStr"/>
      <c r="I478" s="6" t="inlineStr">
        <is>
          <t>300 g</t>
        </is>
      </c>
      <c r="J478" s="6" t="inlineStr">
        <is>
          <t>NON</t>
        </is>
      </c>
      <c r="K478" s="7" t="inlineStr">
        <is>
          <t>5.5 %</t>
        </is>
      </c>
      <c r="L478" s="8" t="n">
        <v>4.08</v>
      </c>
      <c r="M478" s="9" t="n">
        <v>9.800000000000001</v>
      </c>
      <c r="N478" s="10" t="inlineStr">
        <is>
          <t>PROPOSÉ</t>
        </is>
      </c>
      <c r="O478" s="11">
        <f>IF(M478="","",M478-L478)</f>
        <v/>
      </c>
      <c r="P478" s="12">
        <f>IF(OR(M478="",M478=0),"",(M478-L478)/M478)</f>
        <v/>
      </c>
      <c r="Q478" s="13">
        <f>IF(OR(M478="",L478=0,L478=""),"",M478/L478)</f>
        <v/>
      </c>
      <c r="R478" s="11">
        <f>IF(M478="","",M478*1.055)</f>
        <v/>
      </c>
      <c r="S478" s="14" t="n"/>
      <c r="T478" s="15" t="n"/>
    </row>
    <row r="479">
      <c r="A479" s="16" t="inlineStr">
        <is>
          <t>PROD-0483</t>
        </is>
      </c>
      <c r="B479" s="16" t="inlineStr">
        <is>
          <t>Beurre de Cacahuètes "Crunchy" 300g</t>
        </is>
      </c>
      <c r="C479" s="16" t="inlineStr">
        <is>
          <t>EPICERIE_SUCREE</t>
        </is>
      </c>
      <c r="D479" s="16" t="inlineStr">
        <is>
          <t>PATE_A_TARTINER</t>
        </is>
      </c>
      <c r="E479" s="16" t="inlineStr">
        <is>
          <t>ESSENTIEL</t>
        </is>
      </c>
      <c r="F479" s="16" t="inlineStr">
        <is>
          <t>Huète'Ca</t>
        </is>
      </c>
      <c r="G479" s="16" t="inlineStr">
        <is>
          <t>NORMAND DIRECT TERROIR</t>
        </is>
      </c>
      <c r="H479" s="16" t="inlineStr"/>
      <c r="I479" s="16" t="inlineStr">
        <is>
          <t>300 g</t>
        </is>
      </c>
      <c r="J479" s="16" t="inlineStr">
        <is>
          <t>NON</t>
        </is>
      </c>
      <c r="K479" s="17" t="inlineStr">
        <is>
          <t>5.5 %</t>
        </is>
      </c>
      <c r="L479" s="18" t="n">
        <v>4.08</v>
      </c>
      <c r="M479" s="9" t="n">
        <v>9.800000000000001</v>
      </c>
      <c r="N479" s="10" t="inlineStr">
        <is>
          <t>PROPOSÉ</t>
        </is>
      </c>
      <c r="O479" s="11">
        <f>IF(M479="","",M479-L479)</f>
        <v/>
      </c>
      <c r="P479" s="12">
        <f>IF(OR(M479="",M479=0),"",(M479-L479)/M479)</f>
        <v/>
      </c>
      <c r="Q479" s="13">
        <f>IF(OR(M479="",L479=0,L479=""),"",M479/L479)</f>
        <v/>
      </c>
      <c r="R479" s="11">
        <f>IF(M479="","",M479*1.055)</f>
        <v/>
      </c>
      <c r="S479" s="14" t="n"/>
      <c r="T479" s="15" t="n"/>
    </row>
    <row r="480">
      <c r="A480" s="6" t="inlineStr">
        <is>
          <t>PROD-0484</t>
        </is>
      </c>
      <c r="B480" s="6" t="inlineStr">
        <is>
          <t>Beurre de Cacahuètes "Chouchou" 300g</t>
        </is>
      </c>
      <c r="C480" s="6" t="inlineStr">
        <is>
          <t>EPICERIE_SUCREE</t>
        </is>
      </c>
      <c r="D480" s="6" t="inlineStr">
        <is>
          <t>PATE_A_TARTINER</t>
        </is>
      </c>
      <c r="E480" s="6" t="inlineStr">
        <is>
          <t>ESSENTIEL</t>
        </is>
      </c>
      <c r="F480" s="6" t="inlineStr">
        <is>
          <t>Huète'Ca</t>
        </is>
      </c>
      <c r="G480" s="6" t="inlineStr">
        <is>
          <t>NORMAND DIRECT TERROIR</t>
        </is>
      </c>
      <c r="H480" s="6" t="inlineStr"/>
      <c r="I480" s="6" t="inlineStr">
        <is>
          <t>300 g</t>
        </is>
      </c>
      <c r="J480" s="6" t="inlineStr">
        <is>
          <t>NON</t>
        </is>
      </c>
      <c r="K480" s="7" t="inlineStr">
        <is>
          <t>5.5 %</t>
        </is>
      </c>
      <c r="L480" s="8" t="n">
        <v>4.08</v>
      </c>
      <c r="M480" s="9" t="n">
        <v>9.800000000000001</v>
      </c>
      <c r="N480" s="10" t="inlineStr">
        <is>
          <t>PROPOSÉ</t>
        </is>
      </c>
      <c r="O480" s="11">
        <f>IF(M480="","",M480-L480)</f>
        <v/>
      </c>
      <c r="P480" s="12">
        <f>IF(OR(M480="",M480=0),"",(M480-L480)/M480)</f>
        <v/>
      </c>
      <c r="Q480" s="13">
        <f>IF(OR(M480="",L480=0,L480=""),"",M480/L480)</f>
        <v/>
      </c>
      <c r="R480" s="11">
        <f>IF(M480="","",M480*1.055)</f>
        <v/>
      </c>
      <c r="S480" s="14" t="n"/>
      <c r="T480" s="15" t="n"/>
    </row>
    <row r="481">
      <c r="A481" s="16" t="inlineStr">
        <is>
          <t>PROD-0485</t>
        </is>
      </c>
      <c r="B481" s="16" t="inlineStr">
        <is>
          <t>Beurre 100% Cacahuetes sans sucre ajouté 300g</t>
        </is>
      </c>
      <c r="C481" s="16" t="inlineStr">
        <is>
          <t>EPICERIE_SUCREE</t>
        </is>
      </c>
      <c r="D481" s="16" t="inlineStr">
        <is>
          <t>PATE_A_TARTINER</t>
        </is>
      </c>
      <c r="E481" s="16" t="inlineStr">
        <is>
          <t>ESSENTIEL</t>
        </is>
      </c>
      <c r="F481" s="16" t="inlineStr">
        <is>
          <t>Huète'Ca</t>
        </is>
      </c>
      <c r="G481" s="16" t="inlineStr">
        <is>
          <t>NORMAND DIRECT TERROIR</t>
        </is>
      </c>
      <c r="H481" s="16" t="inlineStr"/>
      <c r="I481" s="16" t="inlineStr">
        <is>
          <t>300 g</t>
        </is>
      </c>
      <c r="J481" s="16" t="inlineStr">
        <is>
          <t>NON</t>
        </is>
      </c>
      <c r="K481" s="17" t="inlineStr">
        <is>
          <t>5.5 %</t>
        </is>
      </c>
      <c r="L481" s="18" t="n">
        <v>4.08</v>
      </c>
      <c r="M481" s="9" t="n">
        <v>9.800000000000001</v>
      </c>
      <c r="N481" s="10" t="inlineStr">
        <is>
          <t>PROPOSÉ</t>
        </is>
      </c>
      <c r="O481" s="11">
        <f>IF(M481="","",M481-L481)</f>
        <v/>
      </c>
      <c r="P481" s="12">
        <f>IF(OR(M481="",M481=0),"",(M481-L481)/M481)</f>
        <v/>
      </c>
      <c r="Q481" s="13">
        <f>IF(OR(M481="",L481=0,L481=""),"",M481/L481)</f>
        <v/>
      </c>
      <c r="R481" s="11">
        <f>IF(M481="","",M481*1.055)</f>
        <v/>
      </c>
      <c r="S481" s="14" t="n"/>
      <c r="T481" s="15" t="n"/>
    </row>
    <row r="482">
      <c r="A482" s="6" t="inlineStr">
        <is>
          <t>PROD-0622</t>
        </is>
      </c>
      <c r="B482" s="6" t="inlineStr">
        <is>
          <t>CARAMEL À TARTINER AU BEURRE SALÉ</t>
        </is>
      </c>
      <c r="C482" s="6" t="inlineStr">
        <is>
          <t>EPICERIE_SUCREE</t>
        </is>
      </c>
      <c r="D482" s="6" t="inlineStr">
        <is>
          <t>CARAMEL_A_TARTINER</t>
        </is>
      </c>
      <c r="E482" s="6" t="inlineStr">
        <is>
          <t>ESSENTIEL</t>
        </is>
      </c>
      <c r="F482" s="6" t="inlineStr">
        <is>
          <t>CARAMELS D'ISIGNY</t>
        </is>
      </c>
      <c r="G482" s="6" t="inlineStr">
        <is>
          <t>CARAMELS D'ISIGNY</t>
        </is>
      </c>
      <c r="H482" s="6" t="inlineStr">
        <is>
          <t>250G</t>
        </is>
      </c>
      <c r="I482" s="6" t="inlineStr">
        <is>
          <t>250 g</t>
        </is>
      </c>
      <c r="J482" s="6" t="inlineStr">
        <is>
          <t>NON</t>
        </is>
      </c>
      <c r="K482" s="7" t="inlineStr">
        <is>
          <t>5.5 %</t>
        </is>
      </c>
      <c r="L482" s="8" t="n">
        <v>3.9</v>
      </c>
      <c r="M482" s="9" t="n">
        <v>9.4</v>
      </c>
      <c r="N482" s="10" t="inlineStr">
        <is>
          <t>PROPOSÉ</t>
        </is>
      </c>
      <c r="O482" s="11">
        <f>IF(M482="","",M482-L482)</f>
        <v/>
      </c>
      <c r="P482" s="12">
        <f>IF(OR(M482="",M482=0),"",(M482-L482)/M482)</f>
        <v/>
      </c>
      <c r="Q482" s="13">
        <f>IF(OR(M482="",L482=0,L482=""),"",M482/L482)</f>
        <v/>
      </c>
      <c r="R482" s="11">
        <f>IF(M482="","",M482*1.055)</f>
        <v/>
      </c>
      <c r="S482" s="14" t="n"/>
      <c r="T482" s="15" t="n"/>
    </row>
    <row r="483">
      <c r="A483" s="16" t="inlineStr">
        <is>
          <t>PROD-0624</t>
        </is>
      </c>
      <c r="B483" s="16" t="inlineStr">
        <is>
          <t>CARAMEL À TARTINER VANILLE</t>
        </is>
      </c>
      <c r="C483" s="16" t="inlineStr">
        <is>
          <t>EPICERIE_SUCREE</t>
        </is>
      </c>
      <c r="D483" s="16" t="inlineStr">
        <is>
          <t>CARAMEL_A_TARTINER</t>
        </is>
      </c>
      <c r="E483" s="16" t="inlineStr">
        <is>
          <t>ESSENTIEL</t>
        </is>
      </c>
      <c r="F483" s="16" t="inlineStr">
        <is>
          <t>CARAMELS D'ISIGNY</t>
        </is>
      </c>
      <c r="G483" s="16" t="inlineStr">
        <is>
          <t>CARAMELS D'ISIGNY</t>
        </is>
      </c>
      <c r="H483" s="16" t="inlineStr">
        <is>
          <t>250G</t>
        </is>
      </c>
      <c r="I483" s="16" t="inlineStr">
        <is>
          <t>250 g</t>
        </is>
      </c>
      <c r="J483" s="16" t="inlineStr">
        <is>
          <t>NON</t>
        </is>
      </c>
      <c r="K483" s="17" t="inlineStr">
        <is>
          <t>5.5 %</t>
        </is>
      </c>
      <c r="L483" s="18" t="n">
        <v>3.9</v>
      </c>
      <c r="M483" s="9" t="n">
        <v>9.4</v>
      </c>
      <c r="N483" s="10" t="inlineStr">
        <is>
          <t>PROPOSÉ</t>
        </is>
      </c>
      <c r="O483" s="11">
        <f>IF(M483="","",M483-L483)</f>
        <v/>
      </c>
      <c r="P483" s="12">
        <f>IF(OR(M483="",M483=0),"",(M483-L483)/M483)</f>
        <v/>
      </c>
      <c r="Q483" s="13">
        <f>IF(OR(M483="",L483=0,L483=""),"",M483/L483)</f>
        <v/>
      </c>
      <c r="R483" s="11">
        <f>IF(M483="","",M483*1.055)</f>
        <v/>
      </c>
      <c r="S483" s="14" t="n"/>
      <c r="T483" s="15" t="n"/>
    </row>
    <row r="484">
      <c r="A484" s="6" t="inlineStr">
        <is>
          <t>PROD-0625</t>
        </is>
      </c>
      <c r="B484" s="6" t="inlineStr">
        <is>
          <t>CARAMEL À TARTINER SAVEUR NOISETTE</t>
        </is>
      </c>
      <c r="C484" s="6" t="inlineStr">
        <is>
          <t>EPICERIE_SUCREE</t>
        </is>
      </c>
      <c r="D484" s="6" t="inlineStr">
        <is>
          <t>CARAMEL_A_TARTINER</t>
        </is>
      </c>
      <c r="E484" s="6" t="inlineStr">
        <is>
          <t>ESSENTIEL</t>
        </is>
      </c>
      <c r="F484" s="6" t="inlineStr">
        <is>
          <t>CARAMELS D'ISIGNY</t>
        </is>
      </c>
      <c r="G484" s="6" t="inlineStr">
        <is>
          <t>CARAMELS D'ISIGNY</t>
        </is>
      </c>
      <c r="H484" s="6" t="inlineStr">
        <is>
          <t>250G</t>
        </is>
      </c>
      <c r="I484" s="6" t="inlineStr">
        <is>
          <t>250 g</t>
        </is>
      </c>
      <c r="J484" s="6" t="inlineStr">
        <is>
          <t>NON</t>
        </is>
      </c>
      <c r="K484" s="7" t="inlineStr">
        <is>
          <t>5.5 %</t>
        </is>
      </c>
      <c r="L484" s="8" t="n">
        <v>3.9</v>
      </c>
      <c r="M484" s="9" t="n">
        <v>9.4</v>
      </c>
      <c r="N484" s="10" t="inlineStr">
        <is>
          <t>PROPOSÉ</t>
        </is>
      </c>
      <c r="O484" s="11">
        <f>IF(M484="","",M484-L484)</f>
        <v/>
      </c>
      <c r="P484" s="12">
        <f>IF(OR(M484="",M484=0),"",(M484-L484)/M484)</f>
        <v/>
      </c>
      <c r="Q484" s="13">
        <f>IF(OR(M484="",L484=0,L484=""),"",M484/L484)</f>
        <v/>
      </c>
      <c r="R484" s="11">
        <f>IF(M484="","",M484*1.055)</f>
        <v/>
      </c>
      <c r="S484" s="14" t="n"/>
      <c r="T484" s="15" t="n"/>
    </row>
    <row r="485">
      <c r="A485" s="16" t="inlineStr">
        <is>
          <t>PROD-0626</t>
        </is>
      </c>
      <c r="B485" s="16" t="inlineStr">
        <is>
          <t>CARAMEL À TARTINER CHOCOLAT</t>
        </is>
      </c>
      <c r="C485" s="16" t="inlineStr">
        <is>
          <t>EPICERIE_SUCREE</t>
        </is>
      </c>
      <c r="D485" s="16" t="inlineStr">
        <is>
          <t>CARAMEL_A_TARTINER</t>
        </is>
      </c>
      <c r="E485" s="16" t="inlineStr">
        <is>
          <t>ESSENTIEL</t>
        </is>
      </c>
      <c r="F485" s="16" t="inlineStr">
        <is>
          <t>CARAMELS D'ISIGNY</t>
        </is>
      </c>
      <c r="G485" s="16" t="inlineStr">
        <is>
          <t>CARAMELS D'ISIGNY</t>
        </is>
      </c>
      <c r="H485" s="16" t="inlineStr">
        <is>
          <t>250G</t>
        </is>
      </c>
      <c r="I485" s="16" t="inlineStr">
        <is>
          <t>250 g</t>
        </is>
      </c>
      <c r="J485" s="16" t="inlineStr">
        <is>
          <t>NON</t>
        </is>
      </c>
      <c r="K485" s="17" t="inlineStr">
        <is>
          <t>5.5 %</t>
        </is>
      </c>
      <c r="L485" s="18" t="n">
        <v>3.9</v>
      </c>
      <c r="M485" s="9" t="n">
        <v>9.4</v>
      </c>
      <c r="N485" s="10" t="inlineStr">
        <is>
          <t>PROPOSÉ</t>
        </is>
      </c>
      <c r="O485" s="11">
        <f>IF(M485="","",M485-L485)</f>
        <v/>
      </c>
      <c r="P485" s="12">
        <f>IF(OR(M485="",M485=0),"",(M485-L485)/M485)</f>
        <v/>
      </c>
      <c r="Q485" s="13">
        <f>IF(OR(M485="",L485=0,L485=""),"",M485/L485)</f>
        <v/>
      </c>
      <c r="R485" s="11">
        <f>IF(M485="","",M485*1.055)</f>
        <v/>
      </c>
      <c r="S485" s="14" t="n"/>
      <c r="T485" s="15" t="n"/>
    </row>
    <row r="486">
      <c r="A486" s="6" t="inlineStr">
        <is>
          <t>PROD-0627</t>
        </is>
      </c>
      <c r="B486" s="6" t="inlineStr">
        <is>
          <t>CARAMEL À TARTINER CALVADOS</t>
        </is>
      </c>
      <c r="C486" s="6" t="inlineStr">
        <is>
          <t>EPICERIE_SUCREE</t>
        </is>
      </c>
      <c r="D486" s="6" t="inlineStr">
        <is>
          <t>CARAMEL_A_TARTINER</t>
        </is>
      </c>
      <c r="E486" s="6" t="inlineStr">
        <is>
          <t>ESSENTIEL</t>
        </is>
      </c>
      <c r="F486" s="6" t="inlineStr">
        <is>
          <t>CARAMELS D'ISIGNY</t>
        </is>
      </c>
      <c r="G486" s="6" t="inlineStr">
        <is>
          <t>CARAMELS D'ISIGNY</t>
        </is>
      </c>
      <c r="H486" s="6" t="inlineStr">
        <is>
          <t>250G</t>
        </is>
      </c>
      <c r="I486" s="6" t="inlineStr">
        <is>
          <t>250 g</t>
        </is>
      </c>
      <c r="J486" s="6" t="inlineStr">
        <is>
          <t>INGREDIENT_ALCOOLISE</t>
        </is>
      </c>
      <c r="K486" s="7" t="inlineStr">
        <is>
          <t>5.5 %</t>
        </is>
      </c>
      <c r="L486" s="8" t="n">
        <v>3.9</v>
      </c>
      <c r="M486" s="9" t="n">
        <v>9.4</v>
      </c>
      <c r="N486" s="10" t="inlineStr">
        <is>
          <t>PROPOSÉ</t>
        </is>
      </c>
      <c r="O486" s="11">
        <f>IF(M486="","",M486-L486)</f>
        <v/>
      </c>
      <c r="P486" s="12">
        <f>IF(OR(M486="",M486=0),"",(M486-L486)/M486)</f>
        <v/>
      </c>
      <c r="Q486" s="13">
        <f>IF(OR(M486="",L486=0,L486=""),"",M486/L486)</f>
        <v/>
      </c>
      <c r="R486" s="11">
        <f>IF(M486="","",M486*1.055)</f>
        <v/>
      </c>
      <c r="S486" s="14" t="n"/>
      <c r="T486" s="15" t="n"/>
    </row>
    <row r="487">
      <c r="A487" s="16" t="inlineStr">
        <is>
          <t>PROD-0275</t>
        </is>
      </c>
      <c r="B487" s="16" t="inlineStr">
        <is>
          <t>CONFITURE pomme caramel 180 gr Mont sr Michel</t>
        </is>
      </c>
      <c r="C487" s="16" t="inlineStr">
        <is>
          <t>EPICERIE_SUCREE</t>
        </is>
      </c>
      <c r="D487" s="16" t="inlineStr">
        <is>
          <t>CONFITURE_ET_CONFIT</t>
        </is>
      </c>
      <c r="E487" s="16" t="inlineStr">
        <is>
          <t>ESSENTIEL</t>
        </is>
      </c>
      <c r="F487" s="16" t="inlineStr">
        <is>
          <t>BALADES NORMANDES</t>
        </is>
      </c>
      <c r="G487" s="16" t="inlineStr">
        <is>
          <t>NORMAND DIRECT TERROIR</t>
        </is>
      </c>
      <c r="H487" s="16" t="inlineStr"/>
      <c r="I487" s="16" t="inlineStr">
        <is>
          <t>180 g</t>
        </is>
      </c>
      <c r="J487" s="16" t="inlineStr">
        <is>
          <t>NON</t>
        </is>
      </c>
      <c r="K487" s="17" t="inlineStr">
        <is>
          <t>5.5 %</t>
        </is>
      </c>
      <c r="L487" s="18" t="n">
        <v>3.7</v>
      </c>
      <c r="M487" s="9" t="n">
        <v>8.9</v>
      </c>
      <c r="N487" s="10" t="inlineStr">
        <is>
          <t>PROPOSÉ</t>
        </is>
      </c>
      <c r="O487" s="11">
        <f>IF(M487="","",M487-L487)</f>
        <v/>
      </c>
      <c r="P487" s="12">
        <f>IF(OR(M487="",M487=0),"",(M487-L487)/M487)</f>
        <v/>
      </c>
      <c r="Q487" s="13">
        <f>IF(OR(M487="",L487=0,L487=""),"",M487/L487)</f>
        <v/>
      </c>
      <c r="R487" s="11">
        <f>IF(M487="","",M487*1.055)</f>
        <v/>
      </c>
      <c r="S487" s="14" t="n"/>
      <c r="T487" s="15" t="n"/>
    </row>
    <row r="488">
      <c r="A488" s="6" t="inlineStr">
        <is>
          <t>PROD-0276</t>
        </is>
      </c>
      <c r="B488" s="6" t="inlineStr">
        <is>
          <t>CONFITURE poire vanille 180 gr Plage</t>
        </is>
      </c>
      <c r="C488" s="6" t="inlineStr">
        <is>
          <t>EPICERIE_SUCREE</t>
        </is>
      </c>
      <c r="D488" s="6" t="inlineStr">
        <is>
          <t>CONFITURE_ET_CONFIT</t>
        </is>
      </c>
      <c r="E488" s="6" t="inlineStr">
        <is>
          <t>ESSENTIEL</t>
        </is>
      </c>
      <c r="F488" s="6" t="inlineStr">
        <is>
          <t>BALADES NORMANDES</t>
        </is>
      </c>
      <c r="G488" s="6" t="inlineStr">
        <is>
          <t>NORMAND DIRECT TERROIR</t>
        </is>
      </c>
      <c r="H488" s="6" t="inlineStr"/>
      <c r="I488" s="6" t="inlineStr">
        <is>
          <t>180 g</t>
        </is>
      </c>
      <c r="J488" s="6" t="inlineStr">
        <is>
          <t>NON</t>
        </is>
      </c>
      <c r="K488" s="7" t="inlineStr">
        <is>
          <t>5.5 %</t>
        </is>
      </c>
      <c r="L488" s="8" t="n">
        <v>3.7</v>
      </c>
      <c r="M488" s="9" t="n">
        <v>8.9</v>
      </c>
      <c r="N488" s="10" t="inlineStr">
        <is>
          <t>PROPOSÉ</t>
        </is>
      </c>
      <c r="O488" s="11">
        <f>IF(M488="","",M488-L488)</f>
        <v/>
      </c>
      <c r="P488" s="12">
        <f>IF(OR(M488="",M488=0),"",(M488-L488)/M488)</f>
        <v/>
      </c>
      <c r="Q488" s="13">
        <f>IF(OR(M488="",L488=0,L488=""),"",M488/L488)</f>
        <v/>
      </c>
      <c r="R488" s="11">
        <f>IF(M488="","",M488*1.055)</f>
        <v/>
      </c>
      <c r="S488" s="14" t="n"/>
      <c r="T488" s="15" t="n"/>
    </row>
    <row r="489">
      <c r="A489" s="16" t="inlineStr">
        <is>
          <t>PROD-0277</t>
        </is>
      </c>
      <c r="B489" s="16" t="inlineStr">
        <is>
          <t>CONFITURE fruits rouges 180 gr Champs de course</t>
        </is>
      </c>
      <c r="C489" s="16" t="inlineStr">
        <is>
          <t>EPICERIE_SUCREE</t>
        </is>
      </c>
      <c r="D489" s="16" t="inlineStr">
        <is>
          <t>CONFITURE_ET_CONFIT</t>
        </is>
      </c>
      <c r="E489" s="16" t="inlineStr">
        <is>
          <t>ESSENTIEL</t>
        </is>
      </c>
      <c r="F489" s="16" t="inlineStr">
        <is>
          <t>BALADES NORMANDES</t>
        </is>
      </c>
      <c r="G489" s="16" t="inlineStr">
        <is>
          <t>NORMAND DIRECT TERROIR</t>
        </is>
      </c>
      <c r="H489" s="16" t="inlineStr"/>
      <c r="I489" s="16" t="inlineStr">
        <is>
          <t>180 g</t>
        </is>
      </c>
      <c r="J489" s="16" t="inlineStr">
        <is>
          <t>NON</t>
        </is>
      </c>
      <c r="K489" s="17" t="inlineStr">
        <is>
          <t>5.5 %</t>
        </is>
      </c>
      <c r="L489" s="18" t="n">
        <v>3.7</v>
      </c>
      <c r="M489" s="9" t="n">
        <v>8.9</v>
      </c>
      <c r="N489" s="10" t="inlineStr">
        <is>
          <t>PROPOSÉ</t>
        </is>
      </c>
      <c r="O489" s="11">
        <f>IF(M489="","",M489-L489)</f>
        <v/>
      </c>
      <c r="P489" s="12">
        <f>IF(OR(M489="",M489=0),"",(M489-L489)/M489)</f>
        <v/>
      </c>
      <c r="Q489" s="13">
        <f>IF(OR(M489="",L489=0,L489=""),"",M489/L489)</f>
        <v/>
      </c>
      <c r="R489" s="11">
        <f>IF(M489="","",M489*1.055)</f>
        <v/>
      </c>
      <c r="S489" s="14" t="n"/>
      <c r="T489" s="15" t="n"/>
    </row>
    <row r="490">
      <c r="A490" s="6" t="inlineStr">
        <is>
          <t>PROD-0040</t>
        </is>
      </c>
      <c r="B490" s="6" t="inlineStr">
        <is>
          <t>Confiture de lait éclats de pralin 250 g</t>
        </is>
      </c>
      <c r="C490" s="6" t="inlineStr">
        <is>
          <t>EPICERIE_SUCREE</t>
        </is>
      </c>
      <c r="D490" s="6" t="inlineStr">
        <is>
          <t>CONFITURE_DE_LAIT</t>
        </is>
      </c>
      <c r="E490" s="6" t="inlineStr">
        <is>
          <t>ESSENTIEL</t>
        </is>
      </c>
      <c r="F490" s="6" t="inlineStr">
        <is>
          <t>FERME DE L'ISLE</t>
        </is>
      </c>
      <c r="G490" s="6" t="inlineStr">
        <is>
          <t>NORMAND DIRECT TERROIR</t>
        </is>
      </c>
      <c r="H490" s="6" t="inlineStr"/>
      <c r="I490" s="6" t="inlineStr">
        <is>
          <t>250 g</t>
        </is>
      </c>
      <c r="J490" s="6" t="inlineStr">
        <is>
          <t>NON</t>
        </is>
      </c>
      <c r="K490" s="7" t="inlineStr">
        <is>
          <t>5.5 %</t>
        </is>
      </c>
      <c r="L490" s="8" t="n">
        <v>3.42</v>
      </c>
      <c r="M490" s="9" t="n">
        <v>8.199999999999999</v>
      </c>
      <c r="N490" s="10" t="inlineStr">
        <is>
          <t>PROPOSÉ</t>
        </is>
      </c>
      <c r="O490" s="11">
        <f>IF(M490="","",M490-L490)</f>
        <v/>
      </c>
      <c r="P490" s="12">
        <f>IF(OR(M490="",M490=0),"",(M490-L490)/M490)</f>
        <v/>
      </c>
      <c r="Q490" s="13">
        <f>IF(OR(M490="",L490=0,L490=""),"",M490/L490)</f>
        <v/>
      </c>
      <c r="R490" s="11">
        <f>IF(M490="","",M490*1.055)</f>
        <v/>
      </c>
      <c r="S490" s="14" t="n"/>
      <c r="T490" s="15" t="n"/>
    </row>
    <row r="491">
      <c r="A491" s="16" t="inlineStr">
        <is>
          <t>PROD-0041</t>
        </is>
      </c>
      <c r="B491" s="16" t="inlineStr">
        <is>
          <t>Confiture de lait chocolat 250 g / 20 P</t>
        </is>
      </c>
      <c r="C491" s="16" t="inlineStr">
        <is>
          <t>EPICERIE_SUCREE</t>
        </is>
      </c>
      <c r="D491" s="16" t="inlineStr">
        <is>
          <t>CONFITURE_DE_LAIT</t>
        </is>
      </c>
      <c r="E491" s="16" t="inlineStr">
        <is>
          <t>ESSENTIEL</t>
        </is>
      </c>
      <c r="F491" s="16" t="inlineStr">
        <is>
          <t>FERME DE L'ISLE</t>
        </is>
      </c>
      <c r="G491" s="16" t="inlineStr">
        <is>
          <t>NORMAND DIRECT TERROIR</t>
        </is>
      </c>
      <c r="H491" s="16" t="inlineStr"/>
      <c r="I491" s="16" t="inlineStr">
        <is>
          <t>250 g</t>
        </is>
      </c>
      <c r="J491" s="16" t="inlineStr">
        <is>
          <t>NON</t>
        </is>
      </c>
      <c r="K491" s="17" t="inlineStr">
        <is>
          <t>5.5 %</t>
        </is>
      </c>
      <c r="L491" s="18" t="n">
        <v>3.42</v>
      </c>
      <c r="M491" s="9" t="n">
        <v>8.199999999999999</v>
      </c>
      <c r="N491" s="10" t="inlineStr">
        <is>
          <t>PROPOSÉ</t>
        </is>
      </c>
      <c r="O491" s="11">
        <f>IF(M491="","",M491-L491)</f>
        <v/>
      </c>
      <c r="P491" s="12">
        <f>IF(OR(M491="",M491=0),"",(M491-L491)/M491)</f>
        <v/>
      </c>
      <c r="Q491" s="13">
        <f>IF(OR(M491="",L491=0,L491=""),"",M491/L491)</f>
        <v/>
      </c>
      <c r="R491" s="11">
        <f>IF(M491="","",M491*1.055)</f>
        <v/>
      </c>
      <c r="S491" s="14" t="n"/>
      <c r="T491" s="15" t="n"/>
    </row>
    <row r="492">
      <c r="A492" s="6" t="inlineStr">
        <is>
          <t>PROD-0042</t>
        </is>
      </c>
      <c r="B492" s="6" t="inlineStr">
        <is>
          <t>Confiture de lait fleur sel Guérande 250 g / 20 P</t>
        </is>
      </c>
      <c r="C492" s="6" t="inlineStr">
        <is>
          <t>EPICERIE_SUCREE</t>
        </is>
      </c>
      <c r="D492" s="6" t="inlineStr">
        <is>
          <t>CONFITURE_DE_LAIT</t>
        </is>
      </c>
      <c r="E492" s="6" t="inlineStr">
        <is>
          <t>ESSENTIEL</t>
        </is>
      </c>
      <c r="F492" s="6" t="inlineStr">
        <is>
          <t>FERME DE L'ISLE</t>
        </is>
      </c>
      <c r="G492" s="6" t="inlineStr">
        <is>
          <t>NORMAND DIRECT TERROIR</t>
        </is>
      </c>
      <c r="H492" s="6" t="inlineStr"/>
      <c r="I492" s="6" t="inlineStr">
        <is>
          <t>250 g</t>
        </is>
      </c>
      <c r="J492" s="6" t="inlineStr">
        <is>
          <t>NON</t>
        </is>
      </c>
      <c r="K492" s="7" t="inlineStr">
        <is>
          <t>5.5 %</t>
        </is>
      </c>
      <c r="L492" s="8" t="n">
        <v>3.42</v>
      </c>
      <c r="M492" s="9" t="n">
        <v>8.199999999999999</v>
      </c>
      <c r="N492" s="10" t="inlineStr">
        <is>
          <t>PROPOSÉ</t>
        </is>
      </c>
      <c r="O492" s="11">
        <f>IF(M492="","",M492-L492)</f>
        <v/>
      </c>
      <c r="P492" s="12">
        <f>IF(OR(M492="",M492=0),"",(M492-L492)/M492)</f>
        <v/>
      </c>
      <c r="Q492" s="13">
        <f>IF(OR(M492="",L492=0,L492=""),"",M492/L492)</f>
        <v/>
      </c>
      <c r="R492" s="11">
        <f>IF(M492="","",M492*1.055)</f>
        <v/>
      </c>
      <c r="S492" s="14" t="n"/>
      <c r="T492" s="15" t="n"/>
    </row>
    <row r="493">
      <c r="A493" s="16" t="inlineStr">
        <is>
          <t>PROD-0043</t>
        </is>
      </c>
      <c r="B493" s="16" t="inlineStr">
        <is>
          <t>Confiture figue 280 grs</t>
        </is>
      </c>
      <c r="C493" s="16" t="inlineStr">
        <is>
          <t>EPICERIE_SUCREE</t>
        </is>
      </c>
      <c r="D493" s="16" t="inlineStr">
        <is>
          <t>CONFITURE_ET_CONFIT</t>
        </is>
      </c>
      <c r="E493" s="16" t="inlineStr">
        <is>
          <t>ESSENTIEL</t>
        </is>
      </c>
      <c r="F493" s="16" t="inlineStr">
        <is>
          <t>CONFITURES DU PÈRE ROUPSARD</t>
        </is>
      </c>
      <c r="G493" s="16" t="inlineStr">
        <is>
          <t>NORMAND DIRECT TERROIR</t>
        </is>
      </c>
      <c r="H493" s="16" t="inlineStr"/>
      <c r="I493" s="16" t="inlineStr">
        <is>
          <t>280 g</t>
        </is>
      </c>
      <c r="J493" s="16" t="inlineStr">
        <is>
          <t>NON</t>
        </is>
      </c>
      <c r="K493" s="17" t="inlineStr">
        <is>
          <t>5.5 %</t>
        </is>
      </c>
      <c r="L493" s="18" t="n">
        <v>3.1</v>
      </c>
      <c r="M493" s="9" t="n">
        <v>7.4</v>
      </c>
      <c r="N493" s="10" t="inlineStr">
        <is>
          <t>PROPOSÉ</t>
        </is>
      </c>
      <c r="O493" s="11">
        <f>IF(M493="","",M493-L493)</f>
        <v/>
      </c>
      <c r="P493" s="12">
        <f>IF(OR(M493="",M493=0),"",(M493-L493)/M493)</f>
        <v/>
      </c>
      <c r="Q493" s="13">
        <f>IF(OR(M493="",L493=0,L493=""),"",M493/L493)</f>
        <v/>
      </c>
      <c r="R493" s="11">
        <f>IF(M493="","",M493*1.055)</f>
        <v/>
      </c>
      <c r="S493" s="14" t="n"/>
      <c r="T493" s="15" t="n"/>
    </row>
    <row r="494">
      <c r="A494" s="6" t="inlineStr">
        <is>
          <t>PROD-0044</t>
        </is>
      </c>
      <c r="B494" s="6" t="inlineStr">
        <is>
          <t>Confiture orange 280 grs</t>
        </is>
      </c>
      <c r="C494" s="6" t="inlineStr">
        <is>
          <t>EPICERIE_SUCREE</t>
        </is>
      </c>
      <c r="D494" s="6" t="inlineStr">
        <is>
          <t>CONFITURE_ET_CONFIT</t>
        </is>
      </c>
      <c r="E494" s="6" t="inlineStr">
        <is>
          <t>ESSENTIEL</t>
        </is>
      </c>
      <c r="F494" s="6" t="inlineStr">
        <is>
          <t>CONFITURES DU PÈRE ROUPSARD</t>
        </is>
      </c>
      <c r="G494" s="6" t="inlineStr">
        <is>
          <t>NORMAND DIRECT TERROIR</t>
        </is>
      </c>
      <c r="H494" s="6" t="inlineStr"/>
      <c r="I494" s="6" t="inlineStr">
        <is>
          <t>280 g</t>
        </is>
      </c>
      <c r="J494" s="6" t="inlineStr">
        <is>
          <t>NON</t>
        </is>
      </c>
      <c r="K494" s="7" t="inlineStr">
        <is>
          <t>5.5 %</t>
        </is>
      </c>
      <c r="L494" s="8" t="n">
        <v>3.1</v>
      </c>
      <c r="M494" s="9" t="n">
        <v>7.4</v>
      </c>
      <c r="N494" s="10" t="inlineStr">
        <is>
          <t>PROPOSÉ</t>
        </is>
      </c>
      <c r="O494" s="11">
        <f>IF(M494="","",M494-L494)</f>
        <v/>
      </c>
      <c r="P494" s="12">
        <f>IF(OR(M494="",M494=0),"",(M494-L494)/M494)</f>
        <v/>
      </c>
      <c r="Q494" s="13">
        <f>IF(OR(M494="",L494=0,L494=""),"",M494/L494)</f>
        <v/>
      </c>
      <c r="R494" s="11">
        <f>IF(M494="","",M494*1.055)</f>
        <v/>
      </c>
      <c r="S494" s="14" t="n"/>
      <c r="T494" s="15" t="n"/>
    </row>
    <row r="495">
      <c r="A495" s="16" t="inlineStr">
        <is>
          <t>PROD-0045</t>
        </is>
      </c>
      <c r="B495" s="16" t="inlineStr">
        <is>
          <t>Confiture framboise 280 grs</t>
        </is>
      </c>
      <c r="C495" s="16" t="inlineStr">
        <is>
          <t>EPICERIE_SUCREE</t>
        </is>
      </c>
      <c r="D495" s="16" t="inlineStr">
        <is>
          <t>CONFITURE_ET_CONFIT</t>
        </is>
      </c>
      <c r="E495" s="16" t="inlineStr">
        <is>
          <t>ESSENTIEL</t>
        </is>
      </c>
      <c r="F495" s="16" t="inlineStr">
        <is>
          <t>CONFITURES DU PÈRE ROUPSARD</t>
        </is>
      </c>
      <c r="G495" s="16" t="inlineStr">
        <is>
          <t>NORMAND DIRECT TERROIR</t>
        </is>
      </c>
      <c r="H495" s="16" t="inlineStr"/>
      <c r="I495" s="16" t="inlineStr">
        <is>
          <t>280 g</t>
        </is>
      </c>
      <c r="J495" s="16" t="inlineStr">
        <is>
          <t>NON</t>
        </is>
      </c>
      <c r="K495" s="17" t="inlineStr">
        <is>
          <t>5.5 %</t>
        </is>
      </c>
      <c r="L495" s="18" t="n">
        <v>3.1</v>
      </c>
      <c r="M495" s="9" t="n">
        <v>7.4</v>
      </c>
      <c r="N495" s="10" t="inlineStr">
        <is>
          <t>PROPOSÉ</t>
        </is>
      </c>
      <c r="O495" s="11">
        <f>IF(M495="","",M495-L495)</f>
        <v/>
      </c>
      <c r="P495" s="12">
        <f>IF(OR(M495="",M495=0),"",(M495-L495)/M495)</f>
        <v/>
      </c>
      <c r="Q495" s="13">
        <f>IF(OR(M495="",L495=0,L495=""),"",M495/L495)</f>
        <v/>
      </c>
      <c r="R495" s="11">
        <f>IF(M495="","",M495*1.055)</f>
        <v/>
      </c>
      <c r="S495" s="14" t="n"/>
      <c r="T495" s="15" t="n"/>
    </row>
    <row r="496">
      <c r="A496" s="6" t="inlineStr">
        <is>
          <t>PROD-0046</t>
        </is>
      </c>
      <c r="B496" s="6" t="inlineStr">
        <is>
          <t>Confiture mure 280 grs</t>
        </is>
      </c>
      <c r="C496" s="6" t="inlineStr">
        <is>
          <t>EPICERIE_SUCREE</t>
        </is>
      </c>
      <c r="D496" s="6" t="inlineStr">
        <is>
          <t>CONFITURE_ET_CONFIT</t>
        </is>
      </c>
      <c r="E496" s="6" t="inlineStr">
        <is>
          <t>ESSENTIEL</t>
        </is>
      </c>
      <c r="F496" s="6" t="inlineStr">
        <is>
          <t>CONFITURES DU PÈRE ROUPSARD</t>
        </is>
      </c>
      <c r="G496" s="6" t="inlineStr">
        <is>
          <t>NORMAND DIRECT TERROIR</t>
        </is>
      </c>
      <c r="H496" s="6" t="inlineStr"/>
      <c r="I496" s="6" t="inlineStr">
        <is>
          <t>280 g</t>
        </is>
      </c>
      <c r="J496" s="6" t="inlineStr">
        <is>
          <t>NON</t>
        </is>
      </c>
      <c r="K496" s="7" t="inlineStr">
        <is>
          <t>5.5 %</t>
        </is>
      </c>
      <c r="L496" s="8" t="n">
        <v>3.1</v>
      </c>
      <c r="M496" s="9" t="n">
        <v>7.4</v>
      </c>
      <c r="N496" s="10" t="inlineStr">
        <is>
          <t>PROPOSÉ</t>
        </is>
      </c>
      <c r="O496" s="11">
        <f>IF(M496="","",M496-L496)</f>
        <v/>
      </c>
      <c r="P496" s="12">
        <f>IF(OR(M496="",M496=0),"",(M496-L496)/M496)</f>
        <v/>
      </c>
      <c r="Q496" s="13">
        <f>IF(OR(M496="",L496=0,L496=""),"",M496/L496)</f>
        <v/>
      </c>
      <c r="R496" s="11">
        <f>IF(M496="","",M496*1.055)</f>
        <v/>
      </c>
      <c r="S496" s="14" t="n"/>
      <c r="T496" s="15" t="n"/>
    </row>
    <row r="497">
      <c r="A497" s="16" t="inlineStr">
        <is>
          <t>PROD-0047</t>
        </is>
      </c>
      <c r="B497" s="16" t="inlineStr">
        <is>
          <t>Confiture fraise 280 grs</t>
        </is>
      </c>
      <c r="C497" s="16" t="inlineStr">
        <is>
          <t>EPICERIE_SUCREE</t>
        </is>
      </c>
      <c r="D497" s="16" t="inlineStr">
        <is>
          <t>CONFITURE_ET_CONFIT</t>
        </is>
      </c>
      <c r="E497" s="16" t="inlineStr">
        <is>
          <t>ESSENTIEL</t>
        </is>
      </c>
      <c r="F497" s="16" t="inlineStr">
        <is>
          <t>CONFITURES DU PÈRE ROUPSARD</t>
        </is>
      </c>
      <c r="G497" s="16" t="inlineStr">
        <is>
          <t>NORMAND DIRECT TERROIR</t>
        </is>
      </c>
      <c r="H497" s="16" t="inlineStr"/>
      <c r="I497" s="16" t="inlineStr">
        <is>
          <t>280 g</t>
        </is>
      </c>
      <c r="J497" s="16" t="inlineStr">
        <is>
          <t>NON</t>
        </is>
      </c>
      <c r="K497" s="17" t="inlineStr">
        <is>
          <t>5.5 %</t>
        </is>
      </c>
      <c r="L497" s="18" t="n">
        <v>3.1</v>
      </c>
      <c r="M497" s="9" t="n">
        <v>7.4</v>
      </c>
      <c r="N497" s="10" t="inlineStr">
        <is>
          <t>PROPOSÉ</t>
        </is>
      </c>
      <c r="O497" s="11">
        <f>IF(M497="","",M497-L497)</f>
        <v/>
      </c>
      <c r="P497" s="12">
        <f>IF(OR(M497="",M497=0),"",(M497-L497)/M497)</f>
        <v/>
      </c>
      <c r="Q497" s="13">
        <f>IF(OR(M497="",L497=0,L497=""),"",M497/L497)</f>
        <v/>
      </c>
      <c r="R497" s="11">
        <f>IF(M497="","",M497*1.055)</f>
        <v/>
      </c>
      <c r="S497" s="14" t="n"/>
      <c r="T497" s="15" t="n"/>
    </row>
    <row r="498">
      <c r="A498" s="6" t="inlineStr">
        <is>
          <t>PROD-0048</t>
        </is>
      </c>
      <c r="B498" s="6" t="inlineStr">
        <is>
          <t>Confiture abricot 280 grs</t>
        </is>
      </c>
      <c r="C498" s="6" t="inlineStr">
        <is>
          <t>EPICERIE_SUCREE</t>
        </is>
      </c>
      <c r="D498" s="6" t="inlineStr">
        <is>
          <t>CONFITURE_ET_CONFIT</t>
        </is>
      </c>
      <c r="E498" s="6" t="inlineStr">
        <is>
          <t>ESSENTIEL</t>
        </is>
      </c>
      <c r="F498" s="6" t="inlineStr">
        <is>
          <t>CONFITURES DU PÈRE ROUPSARD</t>
        </is>
      </c>
      <c r="G498" s="6" t="inlineStr">
        <is>
          <t>NORMAND DIRECT TERROIR</t>
        </is>
      </c>
      <c r="H498" s="6" t="inlineStr"/>
      <c r="I498" s="6" t="inlineStr">
        <is>
          <t>280 g</t>
        </is>
      </c>
      <c r="J498" s="6" t="inlineStr">
        <is>
          <t>NON</t>
        </is>
      </c>
      <c r="K498" s="7" t="inlineStr">
        <is>
          <t>5.5 %</t>
        </is>
      </c>
      <c r="L498" s="8" t="n">
        <v>3.1</v>
      </c>
      <c r="M498" s="9" t="n">
        <v>7.4</v>
      </c>
      <c r="N498" s="10" t="inlineStr">
        <is>
          <t>PROPOSÉ</t>
        </is>
      </c>
      <c r="O498" s="11">
        <f>IF(M498="","",M498-L498)</f>
        <v/>
      </c>
      <c r="P498" s="12">
        <f>IF(OR(M498="",M498=0),"",(M498-L498)/M498)</f>
        <v/>
      </c>
      <c r="Q498" s="13">
        <f>IF(OR(M498="",L498=0,L498=""),"",M498/L498)</f>
        <v/>
      </c>
      <c r="R498" s="11">
        <f>IF(M498="","",M498*1.055)</f>
        <v/>
      </c>
      <c r="S498" s="14" t="n"/>
      <c r="T498" s="15" t="n"/>
    </row>
    <row r="499">
      <c r="A499" s="16" t="inlineStr">
        <is>
          <t>PROD-0049</t>
        </is>
      </c>
      <c r="B499" s="16" t="inlineStr">
        <is>
          <t>Confiture de rhubarbe 280 grs</t>
        </is>
      </c>
      <c r="C499" s="16" t="inlineStr">
        <is>
          <t>EPICERIE_SUCREE</t>
        </is>
      </c>
      <c r="D499" s="16" t="inlineStr">
        <is>
          <t>CONFITURE_ET_CONFIT</t>
        </is>
      </c>
      <c r="E499" s="16" t="inlineStr">
        <is>
          <t>ESSENTIEL</t>
        </is>
      </c>
      <c r="F499" s="16" t="inlineStr">
        <is>
          <t>CONFITURES DU PÈRE ROUPSARD</t>
        </is>
      </c>
      <c r="G499" s="16" t="inlineStr">
        <is>
          <t>NORMAND DIRECT TERROIR</t>
        </is>
      </c>
      <c r="H499" s="16" t="inlineStr"/>
      <c r="I499" s="16" t="inlineStr">
        <is>
          <t>280 g</t>
        </is>
      </c>
      <c r="J499" s="16" t="inlineStr">
        <is>
          <t>NON</t>
        </is>
      </c>
      <c r="K499" s="17" t="inlineStr">
        <is>
          <t>5.5 %</t>
        </is>
      </c>
      <c r="L499" s="18" t="n">
        <v>3.1</v>
      </c>
      <c r="M499" s="9" t="n">
        <v>7.4</v>
      </c>
      <c r="N499" s="10" t="inlineStr">
        <is>
          <t>PROPOSÉ</t>
        </is>
      </c>
      <c r="O499" s="11">
        <f>IF(M499="","",M499-L499)</f>
        <v/>
      </c>
      <c r="P499" s="12">
        <f>IF(OR(M499="",M499=0),"",(M499-L499)/M499)</f>
        <v/>
      </c>
      <c r="Q499" s="13">
        <f>IF(OR(M499="",L499=0,L499=""),"",M499/L499)</f>
        <v/>
      </c>
      <c r="R499" s="11">
        <f>IF(M499="","",M499*1.055)</f>
        <v/>
      </c>
      <c r="S499" s="14" t="n"/>
      <c r="T499" s="15" t="n"/>
    </row>
    <row r="500">
      <c r="A500" s="6" t="inlineStr">
        <is>
          <t>PROD-0050</t>
        </is>
      </c>
      <c r="B500" s="6" t="inlineStr">
        <is>
          <t>Confiture de Myrtilles 280 grs NOUVEAU</t>
        </is>
      </c>
      <c r="C500" s="6" t="inlineStr">
        <is>
          <t>EPICERIE_SUCREE</t>
        </is>
      </c>
      <c r="D500" s="6" t="inlineStr">
        <is>
          <t>CONFITURE_ET_CONFIT</t>
        </is>
      </c>
      <c r="E500" s="6" t="inlineStr">
        <is>
          <t>ESSENTIEL</t>
        </is>
      </c>
      <c r="F500" s="6" t="inlineStr">
        <is>
          <t>CONFITURES DU PÈRE ROUPSARD</t>
        </is>
      </c>
      <c r="G500" s="6" t="inlineStr">
        <is>
          <t>NORMAND DIRECT TERROIR</t>
        </is>
      </c>
      <c r="H500" s="6" t="inlineStr"/>
      <c r="I500" s="6" t="inlineStr">
        <is>
          <t>280 g</t>
        </is>
      </c>
      <c r="J500" s="6" t="inlineStr">
        <is>
          <t>NON</t>
        </is>
      </c>
      <c r="K500" s="7" t="inlineStr">
        <is>
          <t>5.5 %</t>
        </is>
      </c>
      <c r="L500" s="8" t="n">
        <v>3.1</v>
      </c>
      <c r="M500" s="9" t="n">
        <v>7.4</v>
      </c>
      <c r="N500" s="10" t="inlineStr">
        <is>
          <t>PROPOSÉ</t>
        </is>
      </c>
      <c r="O500" s="11">
        <f>IF(M500="","",M500-L500)</f>
        <v/>
      </c>
      <c r="P500" s="12">
        <f>IF(OR(M500="",M500=0),"",(M500-L500)/M500)</f>
        <v/>
      </c>
      <c r="Q500" s="13">
        <f>IF(OR(M500="",L500=0,L500=""),"",M500/L500)</f>
        <v/>
      </c>
      <c r="R500" s="11">
        <f>IF(M500="","",M500*1.055)</f>
        <v/>
      </c>
      <c r="S500" s="14" t="n"/>
      <c r="T500" s="15" t="n"/>
    </row>
    <row r="501">
      <c r="A501" s="16" t="inlineStr">
        <is>
          <t>PROD-0051</t>
        </is>
      </c>
      <c r="B501" s="16" t="inlineStr">
        <is>
          <t>Confiture de Fraise Ananas 280 grs NOUVEAU</t>
        </is>
      </c>
      <c r="C501" s="16" t="inlineStr">
        <is>
          <t>EPICERIE_SUCREE</t>
        </is>
      </c>
      <c r="D501" s="16" t="inlineStr">
        <is>
          <t>CONFITURE_ET_CONFIT</t>
        </is>
      </c>
      <c r="E501" s="16" t="inlineStr">
        <is>
          <t>ESSENTIEL</t>
        </is>
      </c>
      <c r="F501" s="16" t="inlineStr">
        <is>
          <t>CONFITURES DU PÈRE ROUPSARD</t>
        </is>
      </c>
      <c r="G501" s="16" t="inlineStr">
        <is>
          <t>NORMAND DIRECT TERROIR</t>
        </is>
      </c>
      <c r="H501" s="16" t="inlineStr"/>
      <c r="I501" s="16" t="inlineStr">
        <is>
          <t>280 g</t>
        </is>
      </c>
      <c r="J501" s="16" t="inlineStr">
        <is>
          <t>NON</t>
        </is>
      </c>
      <c r="K501" s="17" t="inlineStr">
        <is>
          <t>5.5 %</t>
        </is>
      </c>
      <c r="L501" s="18" t="n">
        <v>3.1</v>
      </c>
      <c r="M501" s="9" t="n">
        <v>7.4</v>
      </c>
      <c r="N501" s="10" t="inlineStr">
        <is>
          <t>PROPOSÉ</t>
        </is>
      </c>
      <c r="O501" s="11">
        <f>IF(M501="","",M501-L501)</f>
        <v/>
      </c>
      <c r="P501" s="12">
        <f>IF(OR(M501="",M501=0),"",(M501-L501)/M501)</f>
        <v/>
      </c>
      <c r="Q501" s="13">
        <f>IF(OR(M501="",L501=0,L501=""),"",M501/L501)</f>
        <v/>
      </c>
      <c r="R501" s="11">
        <f>IF(M501="","",M501*1.055)</f>
        <v/>
      </c>
      <c r="S501" s="14" t="n"/>
      <c r="T501" s="15" t="n"/>
    </row>
    <row r="502">
      <c r="A502" s="6" t="inlineStr">
        <is>
          <t>PROD-0052</t>
        </is>
      </c>
      <c r="B502" s="6" t="inlineStr">
        <is>
          <t>Confiture pomme au cidre 280 grs</t>
        </is>
      </c>
      <c r="C502" s="6" t="inlineStr">
        <is>
          <t>EPICERIE_SUCREE</t>
        </is>
      </c>
      <c r="D502" s="6" t="inlineStr">
        <is>
          <t>CONFITURE_ET_CONFIT</t>
        </is>
      </c>
      <c r="E502" s="6" t="inlineStr">
        <is>
          <t>ESSENTIEL</t>
        </is>
      </c>
      <c r="F502" s="6" t="inlineStr">
        <is>
          <t>CONFITURES DU PÈRE ROUPSARD</t>
        </is>
      </c>
      <c r="G502" s="6" t="inlineStr">
        <is>
          <t>NORMAND DIRECT TERROIR</t>
        </is>
      </c>
      <c r="H502" s="6" t="inlineStr"/>
      <c r="I502" s="6" t="inlineStr">
        <is>
          <t>280 g</t>
        </is>
      </c>
      <c r="J502" s="6" t="inlineStr">
        <is>
          <t>INGREDIENT_ALCOOLISE</t>
        </is>
      </c>
      <c r="K502" s="7" t="inlineStr">
        <is>
          <t>5.5 %</t>
        </is>
      </c>
      <c r="L502" s="8" t="n">
        <v>3.1</v>
      </c>
      <c r="M502" s="9" t="n">
        <v>7.4</v>
      </c>
      <c r="N502" s="10" t="inlineStr">
        <is>
          <t>PROPOSÉ</t>
        </is>
      </c>
      <c r="O502" s="11">
        <f>IF(M502="","",M502-L502)</f>
        <v/>
      </c>
      <c r="P502" s="12">
        <f>IF(OR(M502="",M502=0),"",(M502-L502)/M502)</f>
        <v/>
      </c>
      <c r="Q502" s="13">
        <f>IF(OR(M502="",L502=0,L502=""),"",M502/L502)</f>
        <v/>
      </c>
      <c r="R502" s="11">
        <f>IF(M502="","",M502*1.055)</f>
        <v/>
      </c>
      <c r="S502" s="14" t="n"/>
      <c r="T502" s="15" t="n"/>
    </row>
    <row r="503">
      <c r="A503" s="16" t="inlineStr">
        <is>
          <t>PROD-0053</t>
        </is>
      </c>
      <c r="B503" s="16" t="inlineStr">
        <is>
          <t>Confiture pomme caramel 280 grs</t>
        </is>
      </c>
      <c r="C503" s="16" t="inlineStr">
        <is>
          <t>EPICERIE_SUCREE</t>
        </is>
      </c>
      <c r="D503" s="16" t="inlineStr">
        <is>
          <t>CONFITURE_ET_CONFIT</t>
        </is>
      </c>
      <c r="E503" s="16" t="inlineStr">
        <is>
          <t>ESSENTIEL</t>
        </is>
      </c>
      <c r="F503" s="16" t="inlineStr">
        <is>
          <t>CONFITURES DU PÈRE ROUPSARD</t>
        </is>
      </c>
      <c r="G503" s="16" t="inlineStr">
        <is>
          <t>NORMAND DIRECT TERROIR</t>
        </is>
      </c>
      <c r="H503" s="16" t="inlineStr"/>
      <c r="I503" s="16" t="inlineStr">
        <is>
          <t>280 g</t>
        </is>
      </c>
      <c r="J503" s="16" t="inlineStr">
        <is>
          <t>NON</t>
        </is>
      </c>
      <c r="K503" s="17" t="inlineStr">
        <is>
          <t>5.5 %</t>
        </is>
      </c>
      <c r="L503" s="18" t="n">
        <v>3.1</v>
      </c>
      <c r="M503" s="9" t="n">
        <v>7.4</v>
      </c>
      <c r="N503" s="10" t="inlineStr">
        <is>
          <t>PROPOSÉ</t>
        </is>
      </c>
      <c r="O503" s="11">
        <f>IF(M503="","",M503-L503)</f>
        <v/>
      </c>
      <c r="P503" s="12">
        <f>IF(OR(M503="",M503=0),"",(M503-L503)/M503)</f>
        <v/>
      </c>
      <c r="Q503" s="13">
        <f>IF(OR(M503="",L503=0,L503=""),"",M503/L503)</f>
        <v/>
      </c>
      <c r="R503" s="11">
        <f>IF(M503="","",M503*1.055)</f>
        <v/>
      </c>
      <c r="S503" s="14" t="n"/>
      <c r="T503" s="15" t="n"/>
    </row>
    <row r="504">
      <c r="A504" s="6" t="inlineStr">
        <is>
          <t>PROD-0054</t>
        </is>
      </c>
      <c r="B504" s="6" t="inlineStr">
        <is>
          <t>Confiture pomme rhubarbe 280 grs</t>
        </is>
      </c>
      <c r="C504" s="6" t="inlineStr">
        <is>
          <t>EPICERIE_SUCREE</t>
        </is>
      </c>
      <c r="D504" s="6" t="inlineStr">
        <is>
          <t>CONFITURE_ET_CONFIT</t>
        </is>
      </c>
      <c r="E504" s="6" t="inlineStr">
        <is>
          <t>ESSENTIEL</t>
        </is>
      </c>
      <c r="F504" s="6" t="inlineStr">
        <is>
          <t>CONFITURES DU PÈRE ROUPSARD</t>
        </is>
      </c>
      <c r="G504" s="6" t="inlineStr">
        <is>
          <t>NORMAND DIRECT TERROIR</t>
        </is>
      </c>
      <c r="H504" s="6" t="inlineStr"/>
      <c r="I504" s="6" t="inlineStr">
        <is>
          <t>280 g</t>
        </is>
      </c>
      <c r="J504" s="6" t="inlineStr">
        <is>
          <t>NON</t>
        </is>
      </c>
      <c r="K504" s="7" t="inlineStr">
        <is>
          <t>5.5 %</t>
        </is>
      </c>
      <c r="L504" s="8" t="n">
        <v>3.1</v>
      </c>
      <c r="M504" s="9" t="n">
        <v>7.4</v>
      </c>
      <c r="N504" s="10" t="inlineStr">
        <is>
          <t>PROPOSÉ</t>
        </is>
      </c>
      <c r="O504" s="11">
        <f>IF(M504="","",M504-L504)</f>
        <v/>
      </c>
      <c r="P504" s="12">
        <f>IF(OR(M504="",M504=0),"",(M504-L504)/M504)</f>
        <v/>
      </c>
      <c r="Q504" s="13">
        <f>IF(OR(M504="",L504=0,L504=""),"",M504/L504)</f>
        <v/>
      </c>
      <c r="R504" s="11">
        <f>IF(M504="","",M504*1.055)</f>
        <v/>
      </c>
      <c r="S504" s="14" t="n"/>
      <c r="T504" s="15" t="n"/>
    </row>
    <row r="505">
      <c r="A505" s="16" t="inlineStr">
        <is>
          <t>PROD-0055</t>
        </is>
      </c>
      <c r="B505" s="16" t="inlineStr">
        <is>
          <t>Confiture fraise rhubarbe 280 grs</t>
        </is>
      </c>
      <c r="C505" s="16" t="inlineStr">
        <is>
          <t>EPICERIE_SUCREE</t>
        </is>
      </c>
      <c r="D505" s="16" t="inlineStr">
        <is>
          <t>CONFITURE_ET_CONFIT</t>
        </is>
      </c>
      <c r="E505" s="16" t="inlineStr">
        <is>
          <t>ESSENTIEL</t>
        </is>
      </c>
      <c r="F505" s="16" t="inlineStr">
        <is>
          <t>CONFITURES DU PÈRE ROUPSARD</t>
        </is>
      </c>
      <c r="G505" s="16" t="inlineStr">
        <is>
          <t>NORMAND DIRECT TERROIR</t>
        </is>
      </c>
      <c r="H505" s="16" t="inlineStr"/>
      <c r="I505" s="16" t="inlineStr">
        <is>
          <t>280 g</t>
        </is>
      </c>
      <c r="J505" s="16" t="inlineStr">
        <is>
          <t>NON</t>
        </is>
      </c>
      <c r="K505" s="17" t="inlineStr">
        <is>
          <t>5.5 %</t>
        </is>
      </c>
      <c r="L505" s="18" t="n">
        <v>3.1</v>
      </c>
      <c r="M505" s="9" t="n">
        <v>7.4</v>
      </c>
      <c r="N505" s="10" t="inlineStr">
        <is>
          <t>PROPOSÉ</t>
        </is>
      </c>
      <c r="O505" s="11">
        <f>IF(M505="","",M505-L505)</f>
        <v/>
      </c>
      <c r="P505" s="12">
        <f>IF(OR(M505="",M505=0),"",(M505-L505)/M505)</f>
        <v/>
      </c>
      <c r="Q505" s="13">
        <f>IF(OR(M505="",L505=0,L505=""),"",M505/L505)</f>
        <v/>
      </c>
      <c r="R505" s="11">
        <f>IF(M505="","",M505*1.055)</f>
        <v/>
      </c>
      <c r="S505" s="14" t="n"/>
      <c r="T505" s="15" t="n"/>
    </row>
    <row r="506">
      <c r="A506" s="6" t="inlineStr">
        <is>
          <t>PROD-0056</t>
        </is>
      </c>
      <c r="B506" s="6" t="inlineStr">
        <is>
          <t>Confiture fruits rouges 280 grs</t>
        </is>
      </c>
      <c r="C506" s="6" t="inlineStr">
        <is>
          <t>EPICERIE_SUCREE</t>
        </is>
      </c>
      <c r="D506" s="6" t="inlineStr">
        <is>
          <t>CONFITURE_ET_CONFIT</t>
        </is>
      </c>
      <c r="E506" s="6" t="inlineStr">
        <is>
          <t>ESSENTIEL</t>
        </is>
      </c>
      <c r="F506" s="6" t="inlineStr">
        <is>
          <t>CONFITURES DU PÈRE ROUPSARD</t>
        </is>
      </c>
      <c r="G506" s="6" t="inlineStr">
        <is>
          <t>NORMAND DIRECT TERROIR</t>
        </is>
      </c>
      <c r="H506" s="6" t="inlineStr"/>
      <c r="I506" s="6" t="inlineStr">
        <is>
          <t>280 g</t>
        </is>
      </c>
      <c r="J506" s="6" t="inlineStr">
        <is>
          <t>NON</t>
        </is>
      </c>
      <c r="K506" s="7" t="inlineStr">
        <is>
          <t>5.5 %</t>
        </is>
      </c>
      <c r="L506" s="8" t="n">
        <v>3.1</v>
      </c>
      <c r="M506" s="9" t="n">
        <v>7.4</v>
      </c>
      <c r="N506" s="10" t="inlineStr">
        <is>
          <t>PROPOSÉ</t>
        </is>
      </c>
      <c r="O506" s="11">
        <f>IF(M506="","",M506-L506)</f>
        <v/>
      </c>
      <c r="P506" s="12">
        <f>IF(OR(M506="",M506=0),"",(M506-L506)/M506)</f>
        <v/>
      </c>
      <c r="Q506" s="13">
        <f>IF(OR(M506="",L506=0,L506=""),"",M506/L506)</f>
        <v/>
      </c>
      <c r="R506" s="11">
        <f>IF(M506="","",M506*1.055)</f>
        <v/>
      </c>
      <c r="S506" s="14" t="n"/>
      <c r="T506" s="15" t="n"/>
    </row>
    <row r="507">
      <c r="A507" s="16" t="inlineStr">
        <is>
          <t>PROD-0039</t>
        </is>
      </c>
      <c r="B507" s="16" t="inlineStr">
        <is>
          <t>Confiture de lait nature 250 g</t>
        </is>
      </c>
      <c r="C507" s="16" t="inlineStr">
        <is>
          <t>EPICERIE_SUCREE</t>
        </is>
      </c>
      <c r="D507" s="16" t="inlineStr">
        <is>
          <t>CONFITURE_DE_LAIT</t>
        </is>
      </c>
      <c r="E507" s="16" t="inlineStr">
        <is>
          <t>ESSENTIEL</t>
        </is>
      </c>
      <c r="F507" s="16" t="inlineStr">
        <is>
          <t>FERME DE L'ISLE</t>
        </is>
      </c>
      <c r="G507" s="16" t="inlineStr">
        <is>
          <t>NORMAND DIRECT TERROIR</t>
        </is>
      </c>
      <c r="H507" s="16" t="inlineStr"/>
      <c r="I507" s="16" t="inlineStr">
        <is>
          <t>250 g</t>
        </is>
      </c>
      <c r="J507" s="16" t="inlineStr">
        <is>
          <t>NON</t>
        </is>
      </c>
      <c r="K507" s="17" t="inlineStr">
        <is>
          <t>5.5 %</t>
        </is>
      </c>
      <c r="L507" s="18" t="n">
        <v>3.05</v>
      </c>
      <c r="M507" s="9" t="n">
        <v>7.3</v>
      </c>
      <c r="N507" s="10" t="inlineStr">
        <is>
          <t>PROPOSÉ</t>
        </is>
      </c>
      <c r="O507" s="11">
        <f>IF(M507="","",M507-L507)</f>
        <v/>
      </c>
      <c r="P507" s="12">
        <f>IF(OR(M507="",M507=0),"",(M507-L507)/M507)</f>
        <v/>
      </c>
      <c r="Q507" s="13">
        <f>IF(OR(M507="",L507=0,L507=""),"",M507/L507)</f>
        <v/>
      </c>
      <c r="R507" s="11">
        <f>IF(M507="","",M507*1.055)</f>
        <v/>
      </c>
      <c r="S507" s="14" t="n"/>
      <c r="T507" s="15" t="n"/>
    </row>
    <row r="508">
      <c r="A508" s="6" t="inlineStr">
        <is>
          <t>PROD-0057</t>
        </is>
      </c>
      <c r="B508" s="6" t="inlineStr">
        <is>
          <t>Confit de cidre 100 gr</t>
        </is>
      </c>
      <c r="C508" s="6" t="inlineStr">
        <is>
          <t>EPICERIE_SUCREE</t>
        </is>
      </c>
      <c r="D508" s="6" t="inlineStr">
        <is>
          <t>CONFITURE_ET_CONFIT</t>
        </is>
      </c>
      <c r="E508" s="6" t="inlineStr">
        <is>
          <t>ESSENTIEL</t>
        </is>
      </c>
      <c r="F508" s="6" t="inlineStr">
        <is>
          <t>LE PÈRE ROUPSARD</t>
        </is>
      </c>
      <c r="G508" s="6" t="inlineStr">
        <is>
          <t>NORMAND DIRECT TERROIR</t>
        </is>
      </c>
      <c r="H508" s="6" t="inlineStr"/>
      <c r="I508" s="6" t="inlineStr">
        <is>
          <t>100 g</t>
        </is>
      </c>
      <c r="J508" s="6" t="inlineStr">
        <is>
          <t>INGREDIENT_ALCOOLISE</t>
        </is>
      </c>
      <c r="K508" s="7" t="inlineStr">
        <is>
          <t>5.5 %</t>
        </is>
      </c>
      <c r="L508" s="8" t="n">
        <v>1.98</v>
      </c>
      <c r="M508" s="9" t="n">
        <v>5.2</v>
      </c>
      <c r="N508" s="10" t="inlineStr">
        <is>
          <t>PROPOSÉ</t>
        </is>
      </c>
      <c r="O508" s="11">
        <f>IF(M508="","",M508-L508)</f>
        <v/>
      </c>
      <c r="P508" s="12">
        <f>IF(OR(M508="",M508=0),"",(M508-L508)/M508)</f>
        <v/>
      </c>
      <c r="Q508" s="13">
        <f>IF(OR(M508="",L508=0,L508=""),"",M508/L508)</f>
        <v/>
      </c>
      <c r="R508" s="11">
        <f>IF(M508="","",M508*1.055)</f>
        <v/>
      </c>
      <c r="S508" s="14" t="n"/>
      <c r="T508" s="15" t="n"/>
    </row>
    <row r="509">
      <c r="A509" s="16" t="inlineStr">
        <is>
          <t>PROD-0058</t>
        </is>
      </c>
      <c r="B509" s="16" t="inlineStr">
        <is>
          <t>Confit de poiré 100 gr</t>
        </is>
      </c>
      <c r="C509" s="16" t="inlineStr">
        <is>
          <t>EPICERIE_SUCREE</t>
        </is>
      </c>
      <c r="D509" s="16" t="inlineStr">
        <is>
          <t>CONFITURE_ET_CONFIT</t>
        </is>
      </c>
      <c r="E509" s="16" t="inlineStr">
        <is>
          <t>ESSENTIEL</t>
        </is>
      </c>
      <c r="F509" s="16" t="inlineStr">
        <is>
          <t>LE PÈRE ROUPSARD</t>
        </is>
      </c>
      <c r="G509" s="16" t="inlineStr">
        <is>
          <t>NORMAND DIRECT TERROIR</t>
        </is>
      </c>
      <c r="H509" s="16" t="inlineStr"/>
      <c r="I509" s="16" t="inlineStr">
        <is>
          <t>100 g</t>
        </is>
      </c>
      <c r="J509" s="16" t="inlineStr">
        <is>
          <t>NON</t>
        </is>
      </c>
      <c r="K509" s="17" t="inlineStr">
        <is>
          <t>5.5 %</t>
        </is>
      </c>
      <c r="L509" s="18" t="n">
        <v>1.98</v>
      </c>
      <c r="M509" s="9" t="n">
        <v>5.2</v>
      </c>
      <c r="N509" s="10" t="inlineStr">
        <is>
          <t>PROPOSÉ</t>
        </is>
      </c>
      <c r="O509" s="11">
        <f>IF(M509="","",M509-L509)</f>
        <v/>
      </c>
      <c r="P509" s="12">
        <f>IF(OR(M509="",M509=0),"",(M509-L509)/M509)</f>
        <v/>
      </c>
      <c r="Q509" s="13">
        <f>IF(OR(M509="",L509=0,L509=""),"",M509/L509)</f>
        <v/>
      </c>
      <c r="R509" s="11">
        <f>IF(M509="","",M509*1.055)</f>
        <v/>
      </c>
      <c r="S509" s="14" t="n"/>
      <c r="T509" s="15" t="n"/>
    </row>
    <row r="510">
      <c r="A510" s="6" t="inlineStr">
        <is>
          <t>PROD-0445</t>
        </is>
      </c>
      <c r="B510" s="6" t="inlineStr">
        <is>
          <t>Miel d'Acacia 500gr</t>
        </is>
      </c>
      <c r="C510" s="6" t="inlineStr">
        <is>
          <t>EPICERIE_SUCREE</t>
        </is>
      </c>
      <c r="D510" s="6" t="inlineStr">
        <is>
          <t>MIEL</t>
        </is>
      </c>
      <c r="E510" s="6" t="inlineStr">
        <is>
          <t>SIGNATURE</t>
        </is>
      </c>
      <c r="F510" s="6" t="inlineStr">
        <is>
          <t>Rucher du bocage Virois</t>
        </is>
      </c>
      <c r="G510" s="6" t="inlineStr">
        <is>
          <t>NORMAND DIRECT TERROIR</t>
        </is>
      </c>
      <c r="H510" s="6" t="inlineStr"/>
      <c r="I510" s="6" t="inlineStr">
        <is>
          <t>500 g</t>
        </is>
      </c>
      <c r="J510" s="6" t="inlineStr">
        <is>
          <t>NON</t>
        </is>
      </c>
      <c r="K510" s="7" t="inlineStr">
        <is>
          <t>5.5 %</t>
        </is>
      </c>
      <c r="L510" s="8" t="n">
        <v>9.4</v>
      </c>
      <c r="M510" s="9" t="n">
        <v>21</v>
      </c>
      <c r="N510" s="10" t="inlineStr">
        <is>
          <t>PROPOSÉ</t>
        </is>
      </c>
      <c r="O510" s="11">
        <f>IF(M510="","",M510-L510)</f>
        <v/>
      </c>
      <c r="P510" s="12">
        <f>IF(OR(M510="",M510=0),"",(M510-L510)/M510)</f>
        <v/>
      </c>
      <c r="Q510" s="13">
        <f>IF(OR(M510="",L510=0,L510=""),"",M510/L510)</f>
        <v/>
      </c>
      <c r="R510" s="11">
        <f>IF(M510="","",M510*1.055)</f>
        <v/>
      </c>
      <c r="S510" s="14" t="n"/>
      <c r="T510" s="15" t="n"/>
    </row>
    <row r="511">
      <c r="A511" s="16" t="inlineStr">
        <is>
          <t>PROD-0447</t>
        </is>
      </c>
      <c r="B511" s="16" t="inlineStr">
        <is>
          <t>Miel de Tilleul 500gr</t>
        </is>
      </c>
      <c r="C511" s="16" t="inlineStr">
        <is>
          <t>EPICERIE_SUCREE</t>
        </is>
      </c>
      <c r="D511" s="16" t="inlineStr">
        <is>
          <t>MIEL</t>
        </is>
      </c>
      <c r="E511" s="16" t="inlineStr">
        <is>
          <t>SIGNATURE</t>
        </is>
      </c>
      <c r="F511" s="16" t="inlineStr">
        <is>
          <t>Rucher du bocage Virois</t>
        </is>
      </c>
      <c r="G511" s="16" t="inlineStr">
        <is>
          <t>NORMAND DIRECT TERROIR</t>
        </is>
      </c>
      <c r="H511" s="16" t="inlineStr"/>
      <c r="I511" s="16" t="inlineStr">
        <is>
          <t>500 g</t>
        </is>
      </c>
      <c r="J511" s="16" t="inlineStr">
        <is>
          <t>NON</t>
        </is>
      </c>
      <c r="K511" s="17" t="inlineStr">
        <is>
          <t>5.5 %</t>
        </is>
      </c>
      <c r="L511" s="18" t="n">
        <v>9.4</v>
      </c>
      <c r="M511" s="9" t="n">
        <v>21</v>
      </c>
      <c r="N511" s="10" t="inlineStr">
        <is>
          <t>PROPOSÉ</t>
        </is>
      </c>
      <c r="O511" s="11">
        <f>IF(M511="","",M511-L511)</f>
        <v/>
      </c>
      <c r="P511" s="12">
        <f>IF(OR(M511="",M511=0),"",(M511-L511)/M511)</f>
        <v/>
      </c>
      <c r="Q511" s="13">
        <f>IF(OR(M511="",L511=0,L511=""),"",M511/L511)</f>
        <v/>
      </c>
      <c r="R511" s="11">
        <f>IF(M511="","",M511*1.055)</f>
        <v/>
      </c>
      <c r="S511" s="14" t="n"/>
      <c r="T511" s="15" t="n"/>
    </row>
    <row r="512">
      <c r="A512" s="6" t="inlineStr">
        <is>
          <t>PROD-0449</t>
        </is>
      </c>
      <c r="B512" s="6" t="inlineStr">
        <is>
          <t>Miel de Chataigner 500gr</t>
        </is>
      </c>
      <c r="C512" s="6" t="inlineStr">
        <is>
          <t>EPICERIE_SUCREE</t>
        </is>
      </c>
      <c r="D512" s="6" t="inlineStr">
        <is>
          <t>MIEL</t>
        </is>
      </c>
      <c r="E512" s="6" t="inlineStr">
        <is>
          <t>SIGNATURE</t>
        </is>
      </c>
      <c r="F512" s="6" t="inlineStr">
        <is>
          <t>Rucher du bocage Virois</t>
        </is>
      </c>
      <c r="G512" s="6" t="inlineStr">
        <is>
          <t>NORMAND DIRECT TERROIR</t>
        </is>
      </c>
      <c r="H512" s="6" t="inlineStr"/>
      <c r="I512" s="6" t="inlineStr">
        <is>
          <t>500 g</t>
        </is>
      </c>
      <c r="J512" s="6" t="inlineStr">
        <is>
          <t>NON</t>
        </is>
      </c>
      <c r="K512" s="7" t="inlineStr">
        <is>
          <t>5.5 %</t>
        </is>
      </c>
      <c r="L512" s="8" t="n">
        <v>9.4</v>
      </c>
      <c r="M512" s="9" t="n">
        <v>21</v>
      </c>
      <c r="N512" s="10" t="inlineStr">
        <is>
          <t>PROPOSÉ</t>
        </is>
      </c>
      <c r="O512" s="11">
        <f>IF(M512="","",M512-L512)</f>
        <v/>
      </c>
      <c r="P512" s="12">
        <f>IF(OR(M512="",M512=0),"",(M512-L512)/M512)</f>
        <v/>
      </c>
      <c r="Q512" s="13">
        <f>IF(OR(M512="",L512=0,L512=""),"",M512/L512)</f>
        <v/>
      </c>
      <c r="R512" s="11">
        <f>IF(M512="","",M512*1.055)</f>
        <v/>
      </c>
      <c r="S512" s="14" t="n"/>
      <c r="T512" s="15" t="n"/>
    </row>
    <row r="513">
      <c r="A513" s="16" t="inlineStr">
        <is>
          <t>PROD-0451</t>
        </is>
      </c>
      <c r="B513" s="16" t="inlineStr">
        <is>
          <t>Miel de Foret 500gr</t>
        </is>
      </c>
      <c r="C513" s="16" t="inlineStr">
        <is>
          <t>EPICERIE_SUCREE</t>
        </is>
      </c>
      <c r="D513" s="16" t="inlineStr">
        <is>
          <t>MIEL</t>
        </is>
      </c>
      <c r="E513" s="16" t="inlineStr">
        <is>
          <t>SIGNATURE</t>
        </is>
      </c>
      <c r="F513" s="16" t="inlineStr">
        <is>
          <t>Rucher du bocage Virois</t>
        </is>
      </c>
      <c r="G513" s="16" t="inlineStr">
        <is>
          <t>NORMAND DIRECT TERROIR</t>
        </is>
      </c>
      <c r="H513" s="16" t="inlineStr"/>
      <c r="I513" s="16" t="inlineStr">
        <is>
          <t>500 g</t>
        </is>
      </c>
      <c r="J513" s="16" t="inlineStr">
        <is>
          <t>NON</t>
        </is>
      </c>
      <c r="K513" s="17" t="inlineStr">
        <is>
          <t>5.5 %</t>
        </is>
      </c>
      <c r="L513" s="18" t="n">
        <v>9.4</v>
      </c>
      <c r="M513" s="9" t="n">
        <v>21</v>
      </c>
      <c r="N513" s="10" t="inlineStr">
        <is>
          <t>PROPOSÉ</t>
        </is>
      </c>
      <c r="O513" s="11">
        <f>IF(M513="","",M513-L513)</f>
        <v/>
      </c>
      <c r="P513" s="12">
        <f>IF(OR(M513="",M513=0),"",(M513-L513)/M513)</f>
        <v/>
      </c>
      <c r="Q513" s="13">
        <f>IF(OR(M513="",L513=0,L513=""),"",M513/L513)</f>
        <v/>
      </c>
      <c r="R513" s="11">
        <f>IF(M513="","",M513*1.055)</f>
        <v/>
      </c>
      <c r="S513" s="14" t="n"/>
      <c r="T513" s="15" t="n"/>
    </row>
    <row r="514">
      <c r="A514" s="6" t="inlineStr">
        <is>
          <t>PROD-0628</t>
        </is>
      </c>
      <c r="B514" s="6" t="inlineStr">
        <is>
          <t>ASSORTIMENT DE 5 MINI CARAMELS À TARTINER</t>
        </is>
      </c>
      <c r="C514" s="6" t="inlineStr">
        <is>
          <t>EPICERIE_SUCREE</t>
        </is>
      </c>
      <c r="D514" s="6" t="inlineStr">
        <is>
          <t>CARAMEL_A_TARTINER</t>
        </is>
      </c>
      <c r="E514" s="6" t="inlineStr">
        <is>
          <t>SIGNATURE</t>
        </is>
      </c>
      <c r="F514" s="6" t="inlineStr">
        <is>
          <t>CARAMELS D'ISIGNY</t>
        </is>
      </c>
      <c r="G514" s="6" t="inlineStr">
        <is>
          <t>CARAMELS D'ISIGNY</t>
        </is>
      </c>
      <c r="H514" s="6" t="inlineStr">
        <is>
          <t>5X50G</t>
        </is>
      </c>
      <c r="I514" s="6" t="inlineStr">
        <is>
          <t>250 g</t>
        </is>
      </c>
      <c r="J514" s="6" t="inlineStr">
        <is>
          <t>NON</t>
        </is>
      </c>
      <c r="K514" s="7" t="inlineStr">
        <is>
          <t>5.5 %</t>
        </is>
      </c>
      <c r="L514" s="8" t="n">
        <v>7.85</v>
      </c>
      <c r="M514" s="9" t="n">
        <v>18.8</v>
      </c>
      <c r="N514" s="10" t="inlineStr">
        <is>
          <t>PROPOSÉ</t>
        </is>
      </c>
      <c r="O514" s="11">
        <f>IF(M514="","",M514-L514)</f>
        <v/>
      </c>
      <c r="P514" s="12">
        <f>IF(OR(M514="",M514=0),"",(M514-L514)/M514)</f>
        <v/>
      </c>
      <c r="Q514" s="13">
        <f>IF(OR(M514="",L514=0,L514=""),"",M514/L514)</f>
        <v/>
      </c>
      <c r="R514" s="11">
        <f>IF(M514="","",M514*1.055)</f>
        <v/>
      </c>
      <c r="S514" s="14" t="n"/>
      <c r="T514" s="15" t="n"/>
    </row>
    <row r="515">
      <c r="A515" s="16" t="inlineStr">
        <is>
          <t>PROD-0443</t>
        </is>
      </c>
      <c r="B515" s="16" t="inlineStr">
        <is>
          <t>Miel de Fleurs de Normandie 500gr</t>
        </is>
      </c>
      <c r="C515" s="16" t="inlineStr">
        <is>
          <t>EPICERIE_SUCREE</t>
        </is>
      </c>
      <c r="D515" s="16" t="inlineStr">
        <is>
          <t>MIEL</t>
        </is>
      </c>
      <c r="E515" s="16" t="inlineStr">
        <is>
          <t>SIGNATURE</t>
        </is>
      </c>
      <c r="F515" s="16" t="inlineStr">
        <is>
          <t>Rucher du bocage Virois</t>
        </is>
      </c>
      <c r="G515" s="16" t="inlineStr">
        <is>
          <t>NORMAND DIRECT TERROIR</t>
        </is>
      </c>
      <c r="H515" s="16" t="inlineStr"/>
      <c r="I515" s="16" t="inlineStr">
        <is>
          <t>500 g</t>
        </is>
      </c>
      <c r="J515" s="16" t="inlineStr">
        <is>
          <t>NON</t>
        </is>
      </c>
      <c r="K515" s="17" t="inlineStr">
        <is>
          <t>5.5 %</t>
        </is>
      </c>
      <c r="L515" s="18" t="n">
        <v>6.3</v>
      </c>
      <c r="M515" s="9" t="n">
        <v>15.1</v>
      </c>
      <c r="N515" s="10" t="inlineStr">
        <is>
          <t>PROPOSÉ</t>
        </is>
      </c>
      <c r="O515" s="11">
        <f>IF(M515="","",M515-L515)</f>
        <v/>
      </c>
      <c r="P515" s="12">
        <f>IF(OR(M515="",M515=0),"",(M515-L515)/M515)</f>
        <v/>
      </c>
      <c r="Q515" s="13">
        <f>IF(OR(M515="",L515=0,L515=""),"",M515/L515)</f>
        <v/>
      </c>
      <c r="R515" s="11">
        <f>IF(M515="","",M515*1.055)</f>
        <v/>
      </c>
      <c r="S515" s="14" t="n"/>
      <c r="T515" s="15" t="n"/>
    </row>
    <row r="516">
      <c r="A516" s="6" t="inlineStr">
        <is>
          <t>PROD-0444</t>
        </is>
      </c>
      <c r="B516" s="6" t="inlineStr">
        <is>
          <t>Miel d'Acacia 250gr</t>
        </is>
      </c>
      <c r="C516" s="6" t="inlineStr">
        <is>
          <t>EPICERIE_SUCREE</t>
        </is>
      </c>
      <c r="D516" s="6" t="inlineStr">
        <is>
          <t>MIEL</t>
        </is>
      </c>
      <c r="E516" s="6" t="inlineStr">
        <is>
          <t>SIGNATURE</t>
        </is>
      </c>
      <c r="F516" s="6" t="inlineStr">
        <is>
          <t>Rucher du bocage Virois</t>
        </is>
      </c>
      <c r="G516" s="6" t="inlineStr">
        <is>
          <t>NORMAND DIRECT TERROIR</t>
        </is>
      </c>
      <c r="H516" s="6" t="inlineStr"/>
      <c r="I516" s="6" t="inlineStr">
        <is>
          <t>250 g</t>
        </is>
      </c>
      <c r="J516" s="6" t="inlineStr">
        <is>
          <t>NON</t>
        </is>
      </c>
      <c r="K516" s="7" t="inlineStr">
        <is>
          <t>5.5 %</t>
        </is>
      </c>
      <c r="L516" s="8" t="n">
        <v>5.8</v>
      </c>
      <c r="M516" s="9" t="n">
        <v>13.9</v>
      </c>
      <c r="N516" s="10" t="inlineStr">
        <is>
          <t>PROPOSÉ</t>
        </is>
      </c>
      <c r="O516" s="11">
        <f>IF(M516="","",M516-L516)</f>
        <v/>
      </c>
      <c r="P516" s="12">
        <f>IF(OR(M516="",M516=0),"",(M516-L516)/M516)</f>
        <v/>
      </c>
      <c r="Q516" s="13">
        <f>IF(OR(M516="",L516=0,L516=""),"",M516/L516)</f>
        <v/>
      </c>
      <c r="R516" s="11">
        <f>IF(M516="","",M516*1.055)</f>
        <v/>
      </c>
      <c r="S516" s="14" t="n"/>
      <c r="T516" s="15" t="n"/>
    </row>
    <row r="517">
      <c r="A517" s="16" t="inlineStr">
        <is>
          <t>PROD-0446</t>
        </is>
      </c>
      <c r="B517" s="16" t="inlineStr">
        <is>
          <t>Miel de Tilleul 250gr</t>
        </is>
      </c>
      <c r="C517" s="16" t="inlineStr">
        <is>
          <t>EPICERIE_SUCREE</t>
        </is>
      </c>
      <c r="D517" s="16" t="inlineStr">
        <is>
          <t>MIEL</t>
        </is>
      </c>
      <c r="E517" s="16" t="inlineStr">
        <is>
          <t>SIGNATURE</t>
        </is>
      </c>
      <c r="F517" s="16" t="inlineStr">
        <is>
          <t>Rucher du bocage Virois</t>
        </is>
      </c>
      <c r="G517" s="16" t="inlineStr">
        <is>
          <t>NORMAND DIRECT TERROIR</t>
        </is>
      </c>
      <c r="H517" s="16" t="inlineStr"/>
      <c r="I517" s="16" t="inlineStr">
        <is>
          <t>250 g</t>
        </is>
      </c>
      <c r="J517" s="16" t="inlineStr">
        <is>
          <t>NON</t>
        </is>
      </c>
      <c r="K517" s="17" t="inlineStr">
        <is>
          <t>5.5 %</t>
        </is>
      </c>
      <c r="L517" s="18" t="n">
        <v>5.8</v>
      </c>
      <c r="M517" s="9" t="n">
        <v>13.9</v>
      </c>
      <c r="N517" s="10" t="inlineStr">
        <is>
          <t>PROPOSÉ</t>
        </is>
      </c>
      <c r="O517" s="11">
        <f>IF(M517="","",M517-L517)</f>
        <v/>
      </c>
      <c r="P517" s="12">
        <f>IF(OR(M517="",M517=0),"",(M517-L517)/M517)</f>
        <v/>
      </c>
      <c r="Q517" s="13">
        <f>IF(OR(M517="",L517=0,L517=""),"",M517/L517)</f>
        <v/>
      </c>
      <c r="R517" s="11">
        <f>IF(M517="","",M517*1.055)</f>
        <v/>
      </c>
      <c r="S517" s="14" t="n"/>
      <c r="T517" s="15" t="n"/>
    </row>
    <row r="518">
      <c r="A518" s="6" t="inlineStr">
        <is>
          <t>PROD-0448</t>
        </is>
      </c>
      <c r="B518" s="6" t="inlineStr">
        <is>
          <t>Miel de Chataigner 250gr</t>
        </is>
      </c>
      <c r="C518" s="6" t="inlineStr">
        <is>
          <t>EPICERIE_SUCREE</t>
        </is>
      </c>
      <c r="D518" s="6" t="inlineStr">
        <is>
          <t>MIEL</t>
        </is>
      </c>
      <c r="E518" s="6" t="inlineStr">
        <is>
          <t>SIGNATURE</t>
        </is>
      </c>
      <c r="F518" s="6" t="inlineStr">
        <is>
          <t>Rucher du bocage Virois</t>
        </is>
      </c>
      <c r="G518" s="6" t="inlineStr">
        <is>
          <t>NORMAND DIRECT TERROIR</t>
        </is>
      </c>
      <c r="H518" s="6" t="inlineStr"/>
      <c r="I518" s="6" t="inlineStr">
        <is>
          <t>250 g</t>
        </is>
      </c>
      <c r="J518" s="6" t="inlineStr">
        <is>
          <t>NON</t>
        </is>
      </c>
      <c r="K518" s="7" t="inlineStr">
        <is>
          <t>5.5 %</t>
        </is>
      </c>
      <c r="L518" s="8" t="n">
        <v>5.8</v>
      </c>
      <c r="M518" s="9" t="n">
        <v>13.9</v>
      </c>
      <c r="N518" s="10" t="inlineStr">
        <is>
          <t>PROPOSÉ</t>
        </is>
      </c>
      <c r="O518" s="11">
        <f>IF(M518="","",M518-L518)</f>
        <v/>
      </c>
      <c r="P518" s="12">
        <f>IF(OR(M518="",M518=0),"",(M518-L518)/M518)</f>
        <v/>
      </c>
      <c r="Q518" s="13">
        <f>IF(OR(M518="",L518=0,L518=""),"",M518/L518)</f>
        <v/>
      </c>
      <c r="R518" s="11">
        <f>IF(M518="","",M518*1.055)</f>
        <v/>
      </c>
      <c r="S518" s="14" t="n"/>
      <c r="T518" s="15" t="n"/>
    </row>
    <row r="519">
      <c r="A519" s="16" t="inlineStr">
        <is>
          <t>PROD-0450</t>
        </is>
      </c>
      <c r="B519" s="16" t="inlineStr">
        <is>
          <t>Miel de Foret 250gr</t>
        </is>
      </c>
      <c r="C519" s="16" t="inlineStr">
        <is>
          <t>EPICERIE_SUCREE</t>
        </is>
      </c>
      <c r="D519" s="16" t="inlineStr">
        <is>
          <t>MIEL</t>
        </is>
      </c>
      <c r="E519" s="16" t="inlineStr">
        <is>
          <t>SIGNATURE</t>
        </is>
      </c>
      <c r="F519" s="16" t="inlineStr">
        <is>
          <t>Rucher du bocage Virois</t>
        </is>
      </c>
      <c r="G519" s="16" t="inlineStr">
        <is>
          <t>NORMAND DIRECT TERROIR</t>
        </is>
      </c>
      <c r="H519" s="16" t="inlineStr"/>
      <c r="I519" s="16" t="inlineStr">
        <is>
          <t>250 g</t>
        </is>
      </c>
      <c r="J519" s="16" t="inlineStr">
        <is>
          <t>NON</t>
        </is>
      </c>
      <c r="K519" s="17" t="inlineStr">
        <is>
          <t>5.5 %</t>
        </is>
      </c>
      <c r="L519" s="18" t="n">
        <v>5.8</v>
      </c>
      <c r="M519" s="9" t="n">
        <v>13.9</v>
      </c>
      <c r="N519" s="10" t="inlineStr">
        <is>
          <t>PROPOSÉ</t>
        </is>
      </c>
      <c r="O519" s="11">
        <f>IF(M519="","",M519-L519)</f>
        <v/>
      </c>
      <c r="P519" s="12">
        <f>IF(OR(M519="",M519=0),"",(M519-L519)/M519)</f>
        <v/>
      </c>
      <c r="Q519" s="13">
        <f>IF(OR(M519="",L519=0,L519=""),"",M519/L519)</f>
        <v/>
      </c>
      <c r="R519" s="11">
        <f>IF(M519="","",M519*1.055)</f>
        <v/>
      </c>
      <c r="S519" s="14" t="n"/>
      <c r="T519" s="15" t="n"/>
    </row>
    <row r="520">
      <c r="A520" s="6" t="inlineStr">
        <is>
          <t>PROD-0623</t>
        </is>
      </c>
      <c r="B520" s="6" t="inlineStr">
        <is>
          <t>CARAMEL À TARTINER AU BEURRE SALÉ</t>
        </is>
      </c>
      <c r="C520" s="6" t="inlineStr">
        <is>
          <t>EPICERIE_SUCREE</t>
        </is>
      </c>
      <c r="D520" s="6" t="inlineStr">
        <is>
          <t>CARAMEL_A_TARTINER</t>
        </is>
      </c>
      <c r="E520" s="6" t="inlineStr">
        <is>
          <t>SIGNATURE</t>
        </is>
      </c>
      <c r="F520" s="6" t="inlineStr">
        <is>
          <t>CARAMELS D'ISIGNY</t>
        </is>
      </c>
      <c r="G520" s="6" t="inlineStr">
        <is>
          <t>CARAMELS D'ISIGNY</t>
        </is>
      </c>
      <c r="H520" s="6" t="inlineStr">
        <is>
          <t>400G</t>
        </is>
      </c>
      <c r="I520" s="6" t="inlineStr">
        <is>
          <t>400 g</t>
        </is>
      </c>
      <c r="J520" s="6" t="inlineStr">
        <is>
          <t>NON</t>
        </is>
      </c>
      <c r="K520" s="7" t="inlineStr">
        <is>
          <t>5.5 %</t>
        </is>
      </c>
      <c r="L520" s="8" t="n">
        <v>5.45</v>
      </c>
      <c r="M520" s="9" t="n">
        <v>13.1</v>
      </c>
      <c r="N520" s="10" t="inlineStr">
        <is>
          <t>PROPOSÉ</t>
        </is>
      </c>
      <c r="O520" s="11">
        <f>IF(M520="","",M520-L520)</f>
        <v/>
      </c>
      <c r="P520" s="12">
        <f>IF(OR(M520="",M520=0),"",(M520-L520)/M520)</f>
        <v/>
      </c>
      <c r="Q520" s="13">
        <f>IF(OR(M520="",L520=0,L520=""),"",M520/L520)</f>
        <v/>
      </c>
      <c r="R520" s="11">
        <f>IF(M520="","",M520*1.055)</f>
        <v/>
      </c>
      <c r="S520" s="14" t="n"/>
      <c r="T520" s="15" t="n"/>
    </row>
    <row r="521">
      <c r="A521" s="16" t="inlineStr">
        <is>
          <t>PROD-0633</t>
        </is>
      </c>
      <c r="B521" s="16" t="inlineStr">
        <is>
          <t>COULIS DE CARAMEL AU BEURRE SALÉ</t>
        </is>
      </c>
      <c r="C521" s="16" t="inlineStr">
        <is>
          <t>EPICERIE_SUCREE</t>
        </is>
      </c>
      <c r="D521" s="16" t="inlineStr">
        <is>
          <t>CARAMEL_A_TARTINER</t>
        </is>
      </c>
      <c r="E521" s="16" t="inlineStr">
        <is>
          <t>PREMIUM</t>
        </is>
      </c>
      <c r="F521" s="16" t="inlineStr">
        <is>
          <t>CARAMELS D'ISIGNY</t>
        </is>
      </c>
      <c r="G521" s="16" t="inlineStr">
        <is>
          <t>CARAMELS D'ISIGNY</t>
        </is>
      </c>
      <c r="H521" s="16" t="inlineStr">
        <is>
          <t>1.1KG</t>
        </is>
      </c>
      <c r="I521" s="16" t="inlineStr">
        <is>
          <t>1100 g</t>
        </is>
      </c>
      <c r="J521" s="16" t="inlineStr">
        <is>
          <t>NON</t>
        </is>
      </c>
      <c r="K521" s="17" t="inlineStr">
        <is>
          <t>5.5 %</t>
        </is>
      </c>
      <c r="L521" s="18" t="n">
        <v>15.75</v>
      </c>
      <c r="M521" s="9" t="n">
        <v>35</v>
      </c>
      <c r="N521" s="10" t="inlineStr">
        <is>
          <t>PROPOSÉ</t>
        </is>
      </c>
      <c r="O521" s="11">
        <f>IF(M521="","",M521-L521)</f>
        <v/>
      </c>
      <c r="P521" s="12">
        <f>IF(OR(M521="",M521=0),"",(M521-L521)/M521)</f>
        <v/>
      </c>
      <c r="Q521" s="13">
        <f>IF(OR(M521="",L521=0,L521=""),"",M521/L521)</f>
        <v/>
      </c>
      <c r="R521" s="11">
        <f>IF(M521="","",M521*1.055)</f>
        <v/>
      </c>
      <c r="S521" s="14" t="n"/>
      <c r="T521" s="15" t="n"/>
    </row>
    <row r="522">
      <c r="A522" s="6" t="inlineStr">
        <is>
          <t>PROD-0637</t>
        </is>
      </c>
      <c r="B522" s="6" t="inlineStr">
        <is>
          <t>ÉCLATS DE CARAMEL CALIBRE 4/8MM</t>
        </is>
      </c>
      <c r="C522" s="6" t="inlineStr">
        <is>
          <t>INGREDIENT_PROFESSIONNEL</t>
        </is>
      </c>
      <c r="D522" s="6" t="inlineStr">
        <is>
          <t>PAI</t>
        </is>
      </c>
      <c r="E522" s="6" t="inlineStr">
        <is>
          <t>ESSENTIEL</t>
        </is>
      </c>
      <c r="F522" s="6" t="inlineStr">
        <is>
          <t>CARAMELS D'ISIGNY</t>
        </is>
      </c>
      <c r="G522" s="6" t="inlineStr">
        <is>
          <t>CARAMELS D'ISIGNY</t>
        </is>
      </c>
      <c r="H522" s="6" t="inlineStr">
        <is>
          <t>250G</t>
        </is>
      </c>
      <c r="I522" s="6" t="inlineStr">
        <is>
          <t>250 g</t>
        </is>
      </c>
      <c r="J522" s="6" t="inlineStr">
        <is>
          <t>NON</t>
        </is>
      </c>
      <c r="K522" s="7" t="inlineStr">
        <is>
          <t>5.5 %</t>
        </is>
      </c>
      <c r="L522" s="8" t="n">
        <v>5.11</v>
      </c>
      <c r="M522" s="9" t="n">
        <v>8.199999999999999</v>
      </c>
      <c r="N522" s="10" t="inlineStr">
        <is>
          <t>PROPOSÉ</t>
        </is>
      </c>
      <c r="O522" s="11">
        <f>IF(M522="","",M522-L522)</f>
        <v/>
      </c>
      <c r="P522" s="12">
        <f>IF(OR(M522="",M522=0),"",(M522-L522)/M522)</f>
        <v/>
      </c>
      <c r="Q522" s="13">
        <f>IF(OR(M522="",L522=0,L522=""),"",M522/L522)</f>
        <v/>
      </c>
      <c r="R522" s="11">
        <f>IF(M522="","",M522*1.055)</f>
        <v/>
      </c>
      <c r="S522" s="14" t="n"/>
      <c r="T522" s="15" t="n"/>
    </row>
    <row r="523">
      <c r="A523" s="16" t="inlineStr">
        <is>
          <t>PROD-0635</t>
        </is>
      </c>
      <c r="B523" s="16" t="inlineStr">
        <is>
          <t>ÉCLATS DE CARAMEL CALIBRE 1.5/4MM</t>
        </is>
      </c>
      <c r="C523" s="16" t="inlineStr">
        <is>
          <t>INGREDIENT_PROFESSIONNEL</t>
        </is>
      </c>
      <c r="D523" s="16" t="inlineStr">
        <is>
          <t>PAI</t>
        </is>
      </c>
      <c r="E523" s="16" t="inlineStr">
        <is>
          <t>ESSENTIEL</t>
        </is>
      </c>
      <c r="F523" s="16" t="inlineStr">
        <is>
          <t>CARAMELS D'ISIGNY</t>
        </is>
      </c>
      <c r="G523" s="16" t="inlineStr">
        <is>
          <t>CARAMELS D'ISIGNY</t>
        </is>
      </c>
      <c r="H523" s="16" t="inlineStr">
        <is>
          <t>250G</t>
        </is>
      </c>
      <c r="I523" s="16" t="inlineStr">
        <is>
          <t>250 g</t>
        </is>
      </c>
      <c r="J523" s="16" t="inlineStr">
        <is>
          <t>NON</t>
        </is>
      </c>
      <c r="K523" s="17" t="inlineStr">
        <is>
          <t>5.5 %</t>
        </is>
      </c>
      <c r="L523" s="18" t="n">
        <v>4.95</v>
      </c>
      <c r="M523" s="9" t="n">
        <v>7.9</v>
      </c>
      <c r="N523" s="10" t="inlineStr">
        <is>
          <t>PROPOSÉ</t>
        </is>
      </c>
      <c r="O523" s="11">
        <f>IF(M523="","",M523-L523)</f>
        <v/>
      </c>
      <c r="P523" s="12">
        <f>IF(OR(M523="",M523=0),"",(M523-L523)/M523)</f>
        <v/>
      </c>
      <c r="Q523" s="13">
        <f>IF(OR(M523="",L523=0,L523=""),"",M523/L523)</f>
        <v/>
      </c>
      <c r="R523" s="11">
        <f>IF(M523="","",M523*1.055)</f>
        <v/>
      </c>
      <c r="S523" s="14" t="n"/>
      <c r="T523" s="15" t="n"/>
    </row>
    <row r="524">
      <c r="A524" s="6" t="inlineStr">
        <is>
          <t>PROD-0639</t>
        </is>
      </c>
      <c r="B524" s="6" t="inlineStr">
        <is>
          <t>POUDRE DE CARAMEL</t>
        </is>
      </c>
      <c r="C524" s="6" t="inlineStr">
        <is>
          <t>INGREDIENT_PROFESSIONNEL</t>
        </is>
      </c>
      <c r="D524" s="6" t="inlineStr">
        <is>
          <t>PAI</t>
        </is>
      </c>
      <c r="E524" s="6" t="inlineStr">
        <is>
          <t>ESSENTIEL</t>
        </is>
      </c>
      <c r="F524" s="6" t="inlineStr">
        <is>
          <t>CARAMELS D'ISIGNY</t>
        </is>
      </c>
      <c r="G524" s="6" t="inlineStr">
        <is>
          <t>CARAMELS D'ISIGNY</t>
        </is>
      </c>
      <c r="H524" s="6" t="inlineStr">
        <is>
          <t>220G</t>
        </is>
      </c>
      <c r="I524" s="6" t="inlineStr">
        <is>
          <t>220 g</t>
        </is>
      </c>
      <c r="J524" s="6" t="inlineStr">
        <is>
          <t>NON</t>
        </is>
      </c>
      <c r="K524" s="7" t="inlineStr">
        <is>
          <t>5.5 %</t>
        </is>
      </c>
      <c r="L524" s="8" t="n">
        <v>4.27</v>
      </c>
      <c r="M524" s="9" t="n">
        <v>6.8</v>
      </c>
      <c r="N524" s="10" t="inlineStr">
        <is>
          <t>PROPOSÉ</t>
        </is>
      </c>
      <c r="O524" s="11">
        <f>IF(M524="","",M524-L524)</f>
        <v/>
      </c>
      <c r="P524" s="12">
        <f>IF(OR(M524="",M524=0),"",(M524-L524)/M524)</f>
        <v/>
      </c>
      <c r="Q524" s="13">
        <f>IF(OR(M524="",L524=0,L524=""),"",M524/L524)</f>
        <v/>
      </c>
      <c r="R524" s="11">
        <f>IF(M524="","",M524*1.055)</f>
        <v/>
      </c>
      <c r="S524" s="14" t="n"/>
      <c r="T524" s="15" t="n"/>
    </row>
    <row r="525">
      <c r="A525" s="16" t="inlineStr">
        <is>
          <t>PROD-0071</t>
        </is>
      </c>
      <c r="B525" s="16" t="inlineStr">
        <is>
          <t>Crème aux œufs aux éclats de caramel d'Isigny 180 gr</t>
        </is>
      </c>
      <c r="C525" s="16" t="inlineStr">
        <is>
          <t>INGREDIENT_PROFESSIONNEL</t>
        </is>
      </c>
      <c r="D525" s="16" t="inlineStr">
        <is>
          <t>PAI</t>
        </is>
      </c>
      <c r="E525" s="16" t="inlineStr">
        <is>
          <t>ESSENTIEL</t>
        </is>
      </c>
      <c r="F525" s="16" t="inlineStr">
        <is>
          <t>LE PÈRE ROUPSARD DESSERT</t>
        </is>
      </c>
      <c r="G525" s="16" t="inlineStr">
        <is>
          <t>NORMAND DIRECT TERROIR</t>
        </is>
      </c>
      <c r="H525" s="16" t="inlineStr"/>
      <c r="I525" s="16" t="inlineStr">
        <is>
          <t>180 g</t>
        </is>
      </c>
      <c r="J525" s="16" t="inlineStr">
        <is>
          <t>NON</t>
        </is>
      </c>
      <c r="K525" s="17" t="inlineStr">
        <is>
          <t>5.5 %</t>
        </is>
      </c>
      <c r="L525" s="18" t="n">
        <v>2.25</v>
      </c>
      <c r="M525" s="9" t="n">
        <v>4</v>
      </c>
      <c r="N525" s="10" t="inlineStr">
        <is>
          <t>PROPOSÉ</t>
        </is>
      </c>
      <c r="O525" s="11">
        <f>IF(M525="","",M525-L525)</f>
        <v/>
      </c>
      <c r="P525" s="12">
        <f>IF(OR(M525="",M525=0),"",(M525-L525)/M525)</f>
        <v/>
      </c>
      <c r="Q525" s="13">
        <f>IF(OR(M525="",L525=0,L525=""),"",M525/L525)</f>
        <v/>
      </c>
      <c r="R525" s="11">
        <f>IF(M525="","",M525*1.055)</f>
        <v/>
      </c>
      <c r="S525" s="14" t="n"/>
      <c r="T525" s="15" t="n"/>
    </row>
    <row r="526">
      <c r="A526" s="6" t="inlineStr">
        <is>
          <t>PROD-0073</t>
        </is>
      </c>
      <c r="B526" s="6" t="inlineStr">
        <is>
          <t>Crème aux œufs aux éclats de caramel d'Isigny 120 gr</t>
        </is>
      </c>
      <c r="C526" s="6" t="inlineStr">
        <is>
          <t>INGREDIENT_PROFESSIONNEL</t>
        </is>
      </c>
      <c r="D526" s="6" t="inlineStr">
        <is>
          <t>PAI</t>
        </is>
      </c>
      <c r="E526" s="6" t="inlineStr">
        <is>
          <t>ESSENTIEL</t>
        </is>
      </c>
      <c r="F526" s="6" t="inlineStr">
        <is>
          <t>LE PÈRE ROUPSARD DESSERT</t>
        </is>
      </c>
      <c r="G526" s="6" t="inlineStr">
        <is>
          <t>NORMAND DIRECT TERROIR</t>
        </is>
      </c>
      <c r="H526" s="6" t="inlineStr"/>
      <c r="I526" s="6" t="inlineStr">
        <is>
          <t>120 g</t>
        </is>
      </c>
      <c r="J526" s="6" t="inlineStr">
        <is>
          <t>NON</t>
        </is>
      </c>
      <c r="K526" s="7" t="inlineStr">
        <is>
          <t>5.5 %</t>
        </is>
      </c>
      <c r="L526" s="8" t="n">
        <v>1.77</v>
      </c>
      <c r="M526" s="9" t="n">
        <v>3.1</v>
      </c>
      <c r="N526" s="10" t="inlineStr">
        <is>
          <t>PROPOSÉ</t>
        </is>
      </c>
      <c r="O526" s="11">
        <f>IF(M526="","",M526-L526)</f>
        <v/>
      </c>
      <c r="P526" s="12">
        <f>IF(OR(M526="",M526=0),"",(M526-L526)/M526)</f>
        <v/>
      </c>
      <c r="Q526" s="13">
        <f>IF(OR(M526="",L526=0,L526=""),"",M526/L526)</f>
        <v/>
      </c>
      <c r="R526" s="11">
        <f>IF(M526="","",M526*1.055)</f>
        <v/>
      </c>
      <c r="S526" s="14" t="n"/>
      <c r="T526" s="15" t="n"/>
    </row>
    <row r="527">
      <c r="A527" s="16" t="inlineStr">
        <is>
          <t>PROD-0650</t>
        </is>
      </c>
      <c r="B527" s="16" t="inlineStr">
        <is>
          <t>ÉCLATS DE CARAMEL 4/8 MM</t>
        </is>
      </c>
      <c r="C527" s="16" t="inlineStr">
        <is>
          <t>INGREDIENT_PROFESSIONNEL</t>
        </is>
      </c>
      <c r="D527" s="16" t="inlineStr">
        <is>
          <t>PAI</t>
        </is>
      </c>
      <c r="E527" s="16" t="inlineStr">
        <is>
          <t>SIGNATURE</t>
        </is>
      </c>
      <c r="F527" s="16" t="inlineStr">
        <is>
          <t>CARAMELS D'ISIGNY</t>
        </is>
      </c>
      <c r="G527" s="16" t="inlineStr">
        <is>
          <t>CARAMELS D'ISIGNY</t>
        </is>
      </c>
      <c r="H527" s="16" t="inlineStr">
        <is>
          <t>900G</t>
        </is>
      </c>
      <c r="I527" s="16" t="inlineStr">
        <is>
          <t>900 g</t>
        </is>
      </c>
      <c r="J527" s="16" t="inlineStr">
        <is>
          <t>NON</t>
        </is>
      </c>
      <c r="K527" s="17" t="inlineStr">
        <is>
          <t>5.5 %</t>
        </is>
      </c>
      <c r="L527" s="18" t="n">
        <v>14.57</v>
      </c>
      <c r="M527" s="9" t="n">
        <v>21.5</v>
      </c>
      <c r="N527" s="10" t="inlineStr">
        <is>
          <t>PROPOSÉ</t>
        </is>
      </c>
      <c r="O527" s="11">
        <f>IF(M527="","",M527-L527)</f>
        <v/>
      </c>
      <c r="P527" s="12">
        <f>IF(OR(M527="",M527=0),"",(M527-L527)/M527)</f>
        <v/>
      </c>
      <c r="Q527" s="13">
        <f>IF(OR(M527="",L527=0,L527=""),"",M527/L527)</f>
        <v/>
      </c>
      <c r="R527" s="11">
        <f>IF(M527="","",M527*1.055)</f>
        <v/>
      </c>
      <c r="S527" s="14" t="n"/>
      <c r="T527" s="15" t="n"/>
    </row>
    <row r="528">
      <c r="A528" s="6" t="inlineStr">
        <is>
          <t>PROD-0640</t>
        </is>
      </c>
      <c r="B528" s="6" t="inlineStr">
        <is>
          <t>CARAMEL CORSÉ AU BEURRE SALÉ</t>
        </is>
      </c>
      <c r="C528" s="6" t="inlineStr">
        <is>
          <t>INGREDIENT_PROFESSIONNEL</t>
        </is>
      </c>
      <c r="D528" s="6" t="inlineStr">
        <is>
          <t>PAI</t>
        </is>
      </c>
      <c r="E528" s="6" t="inlineStr">
        <is>
          <t>SIGNATURE</t>
        </is>
      </c>
      <c r="F528" s="6" t="inlineStr">
        <is>
          <t>CARAMELS D'ISIGNY</t>
        </is>
      </c>
      <c r="G528" s="6" t="inlineStr">
        <is>
          <t>CARAMELS D'ISIGNY</t>
        </is>
      </c>
      <c r="H528" s="6" t="inlineStr">
        <is>
          <t>1KG</t>
        </is>
      </c>
      <c r="I528" s="6" t="inlineStr">
        <is>
          <t>1000 g</t>
        </is>
      </c>
      <c r="J528" s="6" t="inlineStr">
        <is>
          <t>NON</t>
        </is>
      </c>
      <c r="K528" s="7" t="inlineStr">
        <is>
          <t>5.5 %</t>
        </is>
      </c>
      <c r="L528" s="8" t="n">
        <v>14.33</v>
      </c>
      <c r="M528" s="9" t="n">
        <v>21</v>
      </c>
      <c r="N528" s="10" t="inlineStr">
        <is>
          <t>PROPOSÉ</t>
        </is>
      </c>
      <c r="O528" s="11">
        <f>IF(M528="","",M528-L528)</f>
        <v/>
      </c>
      <c r="P528" s="12">
        <f>IF(OR(M528="",M528=0),"",(M528-L528)/M528)</f>
        <v/>
      </c>
      <c r="Q528" s="13">
        <f>IF(OR(M528="",L528=0,L528=""),"",M528/L528)</f>
        <v/>
      </c>
      <c r="R528" s="11">
        <f>IF(M528="","",M528*1.055)</f>
        <v/>
      </c>
      <c r="S528" s="14" t="n"/>
      <c r="T528" s="15" t="n"/>
    </row>
    <row r="529">
      <c r="A529" s="16" t="inlineStr">
        <is>
          <t>PROD-0647</t>
        </is>
      </c>
      <c r="B529" s="16" t="inlineStr">
        <is>
          <t>ÉCLATS DE CARAMEL 1,5/4 MM</t>
        </is>
      </c>
      <c r="C529" s="16" t="inlineStr">
        <is>
          <t>INGREDIENT_PROFESSIONNEL</t>
        </is>
      </c>
      <c r="D529" s="16" t="inlineStr">
        <is>
          <t>PAI</t>
        </is>
      </c>
      <c r="E529" s="16" t="inlineStr">
        <is>
          <t>SIGNATURE</t>
        </is>
      </c>
      <c r="F529" s="16" t="inlineStr">
        <is>
          <t>CARAMELS D'ISIGNY</t>
        </is>
      </c>
      <c r="G529" s="16" t="inlineStr">
        <is>
          <t>CARAMELS D'ISIGNY</t>
        </is>
      </c>
      <c r="H529" s="16" t="inlineStr">
        <is>
          <t>900G</t>
        </is>
      </c>
      <c r="I529" s="16" t="inlineStr">
        <is>
          <t>900 g</t>
        </is>
      </c>
      <c r="J529" s="16" t="inlineStr">
        <is>
          <t>NON</t>
        </is>
      </c>
      <c r="K529" s="17" t="inlineStr">
        <is>
          <t>5.5 %</t>
        </is>
      </c>
      <c r="L529" s="18" t="n">
        <v>14.17</v>
      </c>
      <c r="M529" s="9" t="n">
        <v>21</v>
      </c>
      <c r="N529" s="10" t="inlineStr">
        <is>
          <t>PROPOSÉ</t>
        </is>
      </c>
      <c r="O529" s="11">
        <f>IF(M529="","",M529-L529)</f>
        <v/>
      </c>
      <c r="P529" s="12">
        <f>IF(OR(M529="",M529=0),"",(M529-L529)/M529)</f>
        <v/>
      </c>
      <c r="Q529" s="13">
        <f>IF(OR(M529="",L529=0,L529=""),"",M529/L529)</f>
        <v/>
      </c>
      <c r="R529" s="11">
        <f>IF(M529="","",M529*1.055)</f>
        <v/>
      </c>
      <c r="S529" s="14" t="n"/>
      <c r="T529" s="15" t="n"/>
    </row>
    <row r="530">
      <c r="A530" s="6" t="inlineStr">
        <is>
          <t>PROD-0642</t>
        </is>
      </c>
      <c r="B530" s="6" t="inlineStr">
        <is>
          <t>CARAMEL AU BEURRE SALÉ</t>
        </is>
      </c>
      <c r="C530" s="6" t="inlineStr">
        <is>
          <t>INGREDIENT_PROFESSIONNEL</t>
        </is>
      </c>
      <c r="D530" s="6" t="inlineStr">
        <is>
          <t>PAI</t>
        </is>
      </c>
      <c r="E530" s="6" t="inlineStr">
        <is>
          <t>SIGNATURE</t>
        </is>
      </c>
      <c r="F530" s="6" t="inlineStr">
        <is>
          <t>CARAMELS D'ISIGNY</t>
        </is>
      </c>
      <c r="G530" s="6" t="inlineStr">
        <is>
          <t>CARAMELS D'ISIGNY</t>
        </is>
      </c>
      <c r="H530" s="6" t="inlineStr">
        <is>
          <t>1KG</t>
        </is>
      </c>
      <c r="I530" s="6" t="inlineStr">
        <is>
          <t>1000 g</t>
        </is>
      </c>
      <c r="J530" s="6" t="inlineStr">
        <is>
          <t>NON</t>
        </is>
      </c>
      <c r="K530" s="7" t="inlineStr">
        <is>
          <t>5.5 %</t>
        </is>
      </c>
      <c r="L530" s="8" t="n">
        <v>13.89</v>
      </c>
      <c r="M530" s="9" t="n">
        <v>20.5</v>
      </c>
      <c r="N530" s="10" t="inlineStr">
        <is>
          <t>PROPOSÉ</t>
        </is>
      </c>
      <c r="O530" s="11">
        <f>IF(M530="","",M530-L530)</f>
        <v/>
      </c>
      <c r="P530" s="12">
        <f>IF(OR(M530="",M530=0),"",(M530-L530)/M530)</f>
        <v/>
      </c>
      <c r="Q530" s="13">
        <f>IF(OR(M530="",L530=0,L530=""),"",M530/L530)</f>
        <v/>
      </c>
      <c r="R530" s="11">
        <f>IF(M530="","",M530*1.055)</f>
        <v/>
      </c>
      <c r="S530" s="14" t="n"/>
      <c r="T530" s="15" t="n"/>
    </row>
    <row r="531">
      <c r="A531" s="16" t="inlineStr">
        <is>
          <t>PROD-0652</t>
        </is>
      </c>
      <c r="B531" s="16" t="inlineStr">
        <is>
          <t>ÉCLATS DE CARAMEL 4/8 MM</t>
        </is>
      </c>
      <c r="C531" s="16" t="inlineStr">
        <is>
          <t>INGREDIENT_PROFESSIONNEL</t>
        </is>
      </c>
      <c r="D531" s="16" t="inlineStr">
        <is>
          <t>PAI</t>
        </is>
      </c>
      <c r="E531" s="16" t="inlineStr">
        <is>
          <t>SIGNATURE</t>
        </is>
      </c>
      <c r="F531" s="16" t="inlineStr">
        <is>
          <t>CARAMELS D'ISIGNY</t>
        </is>
      </c>
      <c r="G531" s="16" t="inlineStr">
        <is>
          <t>CARAMELS D'ISIGNY</t>
        </is>
      </c>
      <c r="H531" s="16" t="inlineStr">
        <is>
          <t>10KG</t>
        </is>
      </c>
      <c r="I531" s="16" t="inlineStr">
        <is>
          <t>10000 g</t>
        </is>
      </c>
      <c r="J531" s="16" t="inlineStr">
        <is>
          <t>NON</t>
        </is>
      </c>
      <c r="K531" s="17" t="inlineStr">
        <is>
          <t>5.5 %</t>
        </is>
      </c>
      <c r="L531" s="18" t="n">
        <v>13.66</v>
      </c>
      <c r="M531" s="9" t="n">
        <v>20</v>
      </c>
      <c r="N531" s="10" t="inlineStr">
        <is>
          <t>PROPOSÉ</t>
        </is>
      </c>
      <c r="O531" s="11">
        <f>IF(M531="","",M531-L531)</f>
        <v/>
      </c>
      <c r="P531" s="12">
        <f>IF(OR(M531="",M531=0),"",(M531-L531)/M531)</f>
        <v/>
      </c>
      <c r="Q531" s="13">
        <f>IF(OR(M531="",L531=0,L531=""),"",M531/L531)</f>
        <v/>
      </c>
      <c r="R531" s="11">
        <f>IF(M531="","",M531*1.055)</f>
        <v/>
      </c>
      <c r="S531" s="14" t="n"/>
      <c r="T531" s="15" t="n"/>
    </row>
    <row r="532">
      <c r="A532" s="6" t="inlineStr">
        <is>
          <t>PROD-0644</t>
        </is>
      </c>
      <c r="B532" s="6" t="inlineStr">
        <is>
          <t>POUDRE DE CARAMEL</t>
        </is>
      </c>
      <c r="C532" s="6" t="inlineStr">
        <is>
          <t>INGREDIENT_PROFESSIONNEL</t>
        </is>
      </c>
      <c r="D532" s="6" t="inlineStr">
        <is>
          <t>PAI</t>
        </is>
      </c>
      <c r="E532" s="6" t="inlineStr">
        <is>
          <t>SIGNATURE</t>
        </is>
      </c>
      <c r="F532" s="6" t="inlineStr">
        <is>
          <t>CARAMELS D'ISIGNY</t>
        </is>
      </c>
      <c r="G532" s="6" t="inlineStr">
        <is>
          <t>CARAMELS D'ISIGNY</t>
        </is>
      </c>
      <c r="H532" s="6" t="inlineStr">
        <is>
          <t>900G</t>
        </is>
      </c>
      <c r="I532" s="6" t="inlineStr">
        <is>
          <t>900 g</t>
        </is>
      </c>
      <c r="J532" s="6" t="inlineStr">
        <is>
          <t>NON</t>
        </is>
      </c>
      <c r="K532" s="7" t="inlineStr">
        <is>
          <t>5.5 %</t>
        </is>
      </c>
      <c r="L532" s="8" t="n">
        <v>13.29</v>
      </c>
      <c r="M532" s="9" t="n">
        <v>19.6</v>
      </c>
      <c r="N532" s="10" t="inlineStr">
        <is>
          <t>PROPOSÉ</t>
        </is>
      </c>
      <c r="O532" s="11">
        <f>IF(M532="","",M532-L532)</f>
        <v/>
      </c>
      <c r="P532" s="12">
        <f>IF(OR(M532="",M532=0),"",(M532-L532)/M532)</f>
        <v/>
      </c>
      <c r="Q532" s="13">
        <f>IF(OR(M532="",L532=0,L532=""),"",M532/L532)</f>
        <v/>
      </c>
      <c r="R532" s="11">
        <f>IF(M532="","",M532*1.055)</f>
        <v/>
      </c>
      <c r="S532" s="14" t="n"/>
      <c r="T532" s="15" t="n"/>
    </row>
    <row r="533">
      <c r="A533" s="16" t="inlineStr">
        <is>
          <t>PROD-0649</t>
        </is>
      </c>
      <c r="B533" s="16" t="inlineStr">
        <is>
          <t>ÉCLATS DE CARAMEL 1,5/4 MM</t>
        </is>
      </c>
      <c r="C533" s="16" t="inlineStr">
        <is>
          <t>INGREDIENT_PROFESSIONNEL</t>
        </is>
      </c>
      <c r="D533" s="16" t="inlineStr">
        <is>
          <t>PAI</t>
        </is>
      </c>
      <c r="E533" s="16" t="inlineStr">
        <is>
          <t>SIGNATURE</t>
        </is>
      </c>
      <c r="F533" s="16" t="inlineStr">
        <is>
          <t>CARAMELS D'ISIGNY</t>
        </is>
      </c>
      <c r="G533" s="16" t="inlineStr">
        <is>
          <t>CARAMELS D'ISIGNY</t>
        </is>
      </c>
      <c r="H533" s="16" t="inlineStr">
        <is>
          <t>10KG</t>
        </is>
      </c>
      <c r="I533" s="16" t="inlineStr">
        <is>
          <t>10000 g</t>
        </is>
      </c>
      <c r="J533" s="16" t="inlineStr">
        <is>
          <t>NON</t>
        </is>
      </c>
      <c r="K533" s="17" t="inlineStr">
        <is>
          <t>5.5 %</t>
        </is>
      </c>
      <c r="L533" s="18" t="n">
        <v>13.27</v>
      </c>
      <c r="M533" s="9" t="n">
        <v>19.5</v>
      </c>
      <c r="N533" s="10" t="inlineStr">
        <is>
          <t>PROPOSÉ</t>
        </is>
      </c>
      <c r="O533" s="11">
        <f>IF(M533="","",M533-L533)</f>
        <v/>
      </c>
      <c r="P533" s="12">
        <f>IF(OR(M533="",M533=0),"",(M533-L533)/M533)</f>
        <v/>
      </c>
      <c r="Q533" s="13">
        <f>IF(OR(M533="",L533=0,L533=""),"",M533/L533)</f>
        <v/>
      </c>
      <c r="R533" s="11">
        <f>IF(M533="","",M533*1.055)</f>
        <v/>
      </c>
      <c r="S533" s="14" t="n"/>
      <c r="T533" s="15" t="n"/>
    </row>
    <row r="534">
      <c r="A534" s="6" t="inlineStr">
        <is>
          <t>PROD-0646</t>
        </is>
      </c>
      <c r="B534" s="6" t="inlineStr">
        <is>
          <t>POUDRE DE CARAMEL</t>
        </is>
      </c>
      <c r="C534" s="6" t="inlineStr">
        <is>
          <t>INGREDIENT_PROFESSIONNEL</t>
        </is>
      </c>
      <c r="D534" s="6" t="inlineStr">
        <is>
          <t>PAI</t>
        </is>
      </c>
      <c r="E534" s="6" t="inlineStr">
        <is>
          <t>SIGNATURE</t>
        </is>
      </c>
      <c r="F534" s="6" t="inlineStr">
        <is>
          <t>CARAMELS D'ISIGNY</t>
        </is>
      </c>
      <c r="G534" s="6" t="inlineStr">
        <is>
          <t>CARAMELS D'ISIGNY</t>
        </is>
      </c>
      <c r="H534" s="6" t="inlineStr">
        <is>
          <t>10KG</t>
        </is>
      </c>
      <c r="I534" s="6" t="inlineStr">
        <is>
          <t>10000 g</t>
        </is>
      </c>
      <c r="J534" s="6" t="inlineStr">
        <is>
          <t>NON</t>
        </is>
      </c>
      <c r="K534" s="7" t="inlineStr">
        <is>
          <t>5.5 %</t>
        </is>
      </c>
      <c r="L534" s="8" t="n">
        <v>12.44</v>
      </c>
      <c r="M534" s="9" t="n">
        <v>18.3</v>
      </c>
      <c r="N534" s="10" t="inlineStr">
        <is>
          <t>PROPOSÉ</t>
        </is>
      </c>
      <c r="O534" s="11">
        <f>IF(M534="","",M534-L534)</f>
        <v/>
      </c>
      <c r="P534" s="12">
        <f>IF(OR(M534="",M534=0),"",(M534-L534)/M534)</f>
        <v/>
      </c>
      <c r="Q534" s="13">
        <f>IF(OR(M534="",L534=0,L534=""),"",M534/L534)</f>
        <v/>
      </c>
      <c r="R534" s="11">
        <f>IF(M534="","",M534*1.055)</f>
        <v/>
      </c>
      <c r="S534" s="14" t="n"/>
      <c r="T534" s="15" t="n"/>
    </row>
    <row r="535">
      <c r="A535" s="16" t="inlineStr">
        <is>
          <t>PROD-0636</t>
        </is>
      </c>
      <c r="B535" s="16" t="inlineStr">
        <is>
          <t>ÉCLATS DE CARAMEL CALIBRE 4/8MM</t>
        </is>
      </c>
      <c r="C535" s="16" t="inlineStr">
        <is>
          <t>INGREDIENT_PROFESSIONNEL</t>
        </is>
      </c>
      <c r="D535" s="16" t="inlineStr">
        <is>
          <t>PAI</t>
        </is>
      </c>
      <c r="E535" s="16" t="inlineStr">
        <is>
          <t>SIGNATURE</t>
        </is>
      </c>
      <c r="F535" s="16" t="inlineStr">
        <is>
          <t>CARAMELS D'ISIGNY</t>
        </is>
      </c>
      <c r="G535" s="16" t="inlineStr">
        <is>
          <t>CARAMELS D'ISIGNY</t>
        </is>
      </c>
      <c r="H535" s="16" t="inlineStr">
        <is>
          <t>700G</t>
        </is>
      </c>
      <c r="I535" s="16" t="inlineStr">
        <is>
          <t>700 g</t>
        </is>
      </c>
      <c r="J535" s="16" t="inlineStr">
        <is>
          <t>NON</t>
        </is>
      </c>
      <c r="K535" s="17" t="inlineStr">
        <is>
          <t>5.5 %</t>
        </is>
      </c>
      <c r="L535" s="18" t="n">
        <v>11.74</v>
      </c>
      <c r="M535" s="9" t="n">
        <v>17.3</v>
      </c>
      <c r="N535" s="10" t="inlineStr">
        <is>
          <t>PROPOSÉ</t>
        </is>
      </c>
      <c r="O535" s="11">
        <f>IF(M535="","",M535-L535)</f>
        <v/>
      </c>
      <c r="P535" s="12">
        <f>IF(OR(M535="",M535=0),"",(M535-L535)/M535)</f>
        <v/>
      </c>
      <c r="Q535" s="13">
        <f>IF(OR(M535="",L535=0,L535=""),"",M535/L535)</f>
        <v/>
      </c>
      <c r="R535" s="11">
        <f>IF(M535="","",M535*1.055)</f>
        <v/>
      </c>
      <c r="S535" s="14" t="n"/>
      <c r="T535" s="15" t="n"/>
    </row>
    <row r="536">
      <c r="A536" s="6" t="inlineStr">
        <is>
          <t>PROD-0634</t>
        </is>
      </c>
      <c r="B536" s="6" t="inlineStr">
        <is>
          <t>ÉCLATS DE CARAMEL CALIBRE 1.5/4MM</t>
        </is>
      </c>
      <c r="C536" s="6" t="inlineStr">
        <is>
          <t>INGREDIENT_PROFESSIONNEL</t>
        </is>
      </c>
      <c r="D536" s="6" t="inlineStr">
        <is>
          <t>PAI</t>
        </is>
      </c>
      <c r="E536" s="6" t="inlineStr">
        <is>
          <t>SIGNATURE</t>
        </is>
      </c>
      <c r="F536" s="6" t="inlineStr">
        <is>
          <t>CARAMELS D'ISIGNY</t>
        </is>
      </c>
      <c r="G536" s="6" t="inlineStr">
        <is>
          <t>CARAMELS D'ISIGNY</t>
        </is>
      </c>
      <c r="H536" s="6" t="inlineStr">
        <is>
          <t>700G</t>
        </is>
      </c>
      <c r="I536" s="6" t="inlineStr">
        <is>
          <t>700 g</t>
        </is>
      </c>
      <c r="J536" s="6" t="inlineStr">
        <is>
          <t>NON</t>
        </is>
      </c>
      <c r="K536" s="7" t="inlineStr">
        <is>
          <t>5.5 %</t>
        </is>
      </c>
      <c r="L536" s="8" t="n">
        <v>11.4</v>
      </c>
      <c r="M536" s="9" t="n">
        <v>16.8</v>
      </c>
      <c r="N536" s="10" t="inlineStr">
        <is>
          <t>PROPOSÉ</t>
        </is>
      </c>
      <c r="O536" s="11">
        <f>IF(M536="","",M536-L536)</f>
        <v/>
      </c>
      <c r="P536" s="12">
        <f>IF(OR(M536="",M536=0),"",(M536-L536)/M536)</f>
        <v/>
      </c>
      <c r="Q536" s="13">
        <f>IF(OR(M536="",L536=0,L536=""),"",M536/L536)</f>
        <v/>
      </c>
      <c r="R536" s="11">
        <f>IF(M536="","",M536*1.055)</f>
        <v/>
      </c>
      <c r="S536" s="14" t="n"/>
      <c r="T536" s="15" t="n"/>
    </row>
    <row r="537">
      <c r="A537" s="16" t="inlineStr">
        <is>
          <t>PROD-0638</t>
        </is>
      </c>
      <c r="B537" s="16" t="inlineStr">
        <is>
          <t>POUDRE DE CARAMEL</t>
        </is>
      </c>
      <c r="C537" s="16" t="inlineStr">
        <is>
          <t>INGREDIENT_PROFESSIONNEL</t>
        </is>
      </c>
      <c r="D537" s="16" t="inlineStr">
        <is>
          <t>PAI</t>
        </is>
      </c>
      <c r="E537" s="16" t="inlineStr">
        <is>
          <t>SIGNATURE</t>
        </is>
      </c>
      <c r="F537" s="16" t="inlineStr">
        <is>
          <t>CARAMELS D'ISIGNY</t>
        </is>
      </c>
      <c r="G537" s="16" t="inlineStr">
        <is>
          <t>CARAMELS D'ISIGNY</t>
        </is>
      </c>
      <c r="H537" s="16" t="inlineStr">
        <is>
          <t>700G</t>
        </is>
      </c>
      <c r="I537" s="16" t="inlineStr">
        <is>
          <t>700 g</t>
        </is>
      </c>
      <c r="J537" s="16" t="inlineStr">
        <is>
          <t>NON</t>
        </is>
      </c>
      <c r="K537" s="17" t="inlineStr">
        <is>
          <t>5.5 %</t>
        </is>
      </c>
      <c r="L537" s="18" t="n">
        <v>10.7</v>
      </c>
      <c r="M537" s="9" t="n">
        <v>15.8</v>
      </c>
      <c r="N537" s="10" t="inlineStr">
        <is>
          <t>PROPOSÉ</t>
        </is>
      </c>
      <c r="O537" s="11">
        <f>IF(M537="","",M537-L537)</f>
        <v/>
      </c>
      <c r="P537" s="12">
        <f>IF(OR(M537="",M537=0),"",(M537-L537)/M537)</f>
        <v/>
      </c>
      <c r="Q537" s="13">
        <f>IF(OR(M537="",L537=0,L537=""),"",M537/L537)</f>
        <v/>
      </c>
      <c r="R537" s="11">
        <f>IF(M537="","",M537*1.055)</f>
        <v/>
      </c>
      <c r="S537" s="14" t="n"/>
      <c r="T537" s="15" t="n"/>
    </row>
    <row r="538">
      <c r="A538" s="6" t="inlineStr">
        <is>
          <t>PROD-0653</t>
        </is>
      </c>
      <c r="B538" s="6" t="inlineStr">
        <is>
          <t>CARAMELS FONDANTS BEURRE SALÉ À ENROBER</t>
        </is>
      </c>
      <c r="C538" s="6" t="inlineStr">
        <is>
          <t>INGREDIENT_PROFESSIONNEL</t>
        </is>
      </c>
      <c r="D538" s="6" t="inlineStr">
        <is>
          <t>PAI</t>
        </is>
      </c>
      <c r="E538" s="6" t="inlineStr">
        <is>
          <t>PREMIUM</t>
        </is>
      </c>
      <c r="F538" s="6" t="inlineStr">
        <is>
          <t>CARAMELS D'ISIGNY</t>
        </is>
      </c>
      <c r="G538" s="6" t="inlineStr">
        <is>
          <t>CARAMELS D'ISIGNY</t>
        </is>
      </c>
      <c r="H538" s="6" t="inlineStr">
        <is>
          <t>2KG</t>
        </is>
      </c>
      <c r="I538" s="6" t="inlineStr">
        <is>
          <t>2000 g</t>
        </is>
      </c>
      <c r="J538" s="6" t="inlineStr">
        <is>
          <t>NON</t>
        </is>
      </c>
      <c r="K538" s="7" t="inlineStr">
        <is>
          <t>20 %</t>
        </is>
      </c>
      <c r="L538" s="8" t="n">
        <v>43.3</v>
      </c>
      <c r="M538" s="9" t="n">
        <v>55.5</v>
      </c>
      <c r="N538" s="10" t="inlineStr">
        <is>
          <t>PROPOSÉ</t>
        </is>
      </c>
      <c r="O538" s="11">
        <f>IF(M538="","",M538-L538)</f>
        <v/>
      </c>
      <c r="P538" s="12">
        <f>IF(OR(M538="",M538=0),"",(M538-L538)/M538)</f>
        <v/>
      </c>
      <c r="Q538" s="13">
        <f>IF(OR(M538="",L538=0,L538=""),"",M538/L538)</f>
        <v/>
      </c>
      <c r="R538" s="11">
        <f>IF(M538="","",M538*1.2)</f>
        <v/>
      </c>
      <c r="S538" s="14" t="n"/>
      <c r="T538" s="15" t="n"/>
    </row>
    <row r="539">
      <c r="A539" s="16" t="inlineStr">
        <is>
          <t>PROD-0641</t>
        </is>
      </c>
      <c r="B539" s="16" t="inlineStr">
        <is>
          <t>CARAMEL CORSÉ AU BEURRE SALÉ</t>
        </is>
      </c>
      <c r="C539" s="16" t="inlineStr">
        <is>
          <t>INGREDIENT_PROFESSIONNEL</t>
        </is>
      </c>
      <c r="D539" s="16" t="inlineStr">
        <is>
          <t>PAI</t>
        </is>
      </c>
      <c r="E539" s="16" t="inlineStr">
        <is>
          <t>PREMIUM</t>
        </is>
      </c>
      <c r="F539" s="16" t="inlineStr">
        <is>
          <t>CARAMELS D'ISIGNY</t>
        </is>
      </c>
      <c r="G539" s="16" t="inlineStr">
        <is>
          <t>CARAMELS D'ISIGNY</t>
        </is>
      </c>
      <c r="H539" s="16" t="inlineStr">
        <is>
          <t>3KG</t>
        </is>
      </c>
      <c r="I539" s="16" t="inlineStr">
        <is>
          <t>3000 g</t>
        </is>
      </c>
      <c r="J539" s="16" t="inlineStr">
        <is>
          <t>NON</t>
        </is>
      </c>
      <c r="K539" s="17" t="inlineStr">
        <is>
          <t>5.5 %</t>
        </is>
      </c>
      <c r="L539" s="18" t="n">
        <v>40.83</v>
      </c>
      <c r="M539" s="9" t="n">
        <v>52.5</v>
      </c>
      <c r="N539" s="10" t="inlineStr">
        <is>
          <t>PROPOSÉ</t>
        </is>
      </c>
      <c r="O539" s="11">
        <f>IF(M539="","",M539-L539)</f>
        <v/>
      </c>
      <c r="P539" s="12">
        <f>IF(OR(M539="",M539=0),"",(M539-L539)/M539)</f>
        <v/>
      </c>
      <c r="Q539" s="13">
        <f>IF(OR(M539="",L539=0,L539=""),"",M539/L539)</f>
        <v/>
      </c>
      <c r="R539" s="11">
        <f>IF(M539="","",M539*1.055)</f>
        <v/>
      </c>
      <c r="S539" s="14" t="n"/>
      <c r="T539" s="15" t="n"/>
    </row>
    <row r="540">
      <c r="A540" s="6" t="inlineStr">
        <is>
          <t>PROD-0643</t>
        </is>
      </c>
      <c r="B540" s="6" t="inlineStr">
        <is>
          <t>CARAMEL AU BEURRE SALÉ</t>
        </is>
      </c>
      <c r="C540" s="6" t="inlineStr">
        <is>
          <t>INGREDIENT_PROFESSIONNEL</t>
        </is>
      </c>
      <c r="D540" s="6" t="inlineStr">
        <is>
          <t>PAI</t>
        </is>
      </c>
      <c r="E540" s="6" t="inlineStr">
        <is>
          <t>PREMIUM</t>
        </is>
      </c>
      <c r="F540" s="6" t="inlineStr">
        <is>
          <t>CARAMELS D'ISIGNY</t>
        </is>
      </c>
      <c r="G540" s="6" t="inlineStr">
        <is>
          <t>CARAMELS D'ISIGNY</t>
        </is>
      </c>
      <c r="H540" s="6" t="inlineStr">
        <is>
          <t>3KG</t>
        </is>
      </c>
      <c r="I540" s="6" t="inlineStr">
        <is>
          <t>3000 g</t>
        </is>
      </c>
      <c r="J540" s="6" t="inlineStr">
        <is>
          <t>NON</t>
        </is>
      </c>
      <c r="K540" s="7" t="inlineStr">
        <is>
          <t>5.5 %</t>
        </is>
      </c>
      <c r="L540" s="8" t="n">
        <v>39.6</v>
      </c>
      <c r="M540" s="9" t="n">
        <v>54</v>
      </c>
      <c r="N540" s="10" t="inlineStr">
        <is>
          <t>PROPOSÉ</t>
        </is>
      </c>
      <c r="O540" s="11">
        <f>IF(M540="","",M540-L540)</f>
        <v/>
      </c>
      <c r="P540" s="12">
        <f>IF(OR(M540="",M540=0),"",(M540-L540)/M540)</f>
        <v/>
      </c>
      <c r="Q540" s="13">
        <f>IF(OR(M540="",L540=0,L540=""),"",M540/L540)</f>
        <v/>
      </c>
      <c r="R540" s="11">
        <f>IF(M540="","",M540*1.055)</f>
        <v/>
      </c>
      <c r="S540" s="14" t="n"/>
      <c r="T540" s="15" t="n"/>
    </row>
    <row r="541">
      <c r="A541" s="16" t="inlineStr">
        <is>
          <t>PROD-0651</t>
        </is>
      </c>
      <c r="B541" s="16" t="inlineStr">
        <is>
          <t>ÉCLATS DE CARAMEL 4/8 MM</t>
        </is>
      </c>
      <c r="C541" s="16" t="inlineStr">
        <is>
          <t>INGREDIENT_PROFESSIONNEL</t>
        </is>
      </c>
      <c r="D541" s="16" t="inlineStr">
        <is>
          <t>PAI</t>
        </is>
      </c>
      <c r="E541" s="16" t="inlineStr">
        <is>
          <t>PREMIUM</t>
        </is>
      </c>
      <c r="F541" s="16" t="inlineStr">
        <is>
          <t>CARAMELS D'ISIGNY</t>
        </is>
      </c>
      <c r="G541" s="16" t="inlineStr">
        <is>
          <t>CARAMELS D'ISIGNY</t>
        </is>
      </c>
      <c r="H541" s="16" t="inlineStr">
        <is>
          <t>2.2KG</t>
        </is>
      </c>
      <c r="I541" s="16" t="inlineStr">
        <is>
          <t>2200 g</t>
        </is>
      </c>
      <c r="J541" s="16" t="inlineStr">
        <is>
          <t>NON</t>
        </is>
      </c>
      <c r="K541" s="17" t="inlineStr">
        <is>
          <t>5.5 %</t>
        </is>
      </c>
      <c r="L541" s="18" t="n">
        <v>32.61</v>
      </c>
      <c r="M541" s="9" t="n">
        <v>44.5</v>
      </c>
      <c r="N541" s="10" t="inlineStr">
        <is>
          <t>PROPOSÉ</t>
        </is>
      </c>
      <c r="O541" s="11">
        <f>IF(M541="","",M541-L541)</f>
        <v/>
      </c>
      <c r="P541" s="12">
        <f>IF(OR(M541="",M541=0),"",(M541-L541)/M541)</f>
        <v/>
      </c>
      <c r="Q541" s="13">
        <f>IF(OR(M541="",L541=0,L541=""),"",M541/L541)</f>
        <v/>
      </c>
      <c r="R541" s="11">
        <f>IF(M541="","",M541*1.055)</f>
        <v/>
      </c>
      <c r="S541" s="14" t="n"/>
      <c r="T541" s="15" t="n"/>
    </row>
    <row r="542">
      <c r="A542" s="6" t="inlineStr">
        <is>
          <t>PROD-0648</t>
        </is>
      </c>
      <c r="B542" s="6" t="inlineStr">
        <is>
          <t>ÉCLATS DE CARAMEL 1,5/4 MM</t>
        </is>
      </c>
      <c r="C542" s="6" t="inlineStr">
        <is>
          <t>INGREDIENT_PROFESSIONNEL</t>
        </is>
      </c>
      <c r="D542" s="6" t="inlineStr">
        <is>
          <t>PAI</t>
        </is>
      </c>
      <c r="E542" s="6" t="inlineStr">
        <is>
          <t>PREMIUM</t>
        </is>
      </c>
      <c r="F542" s="6" t="inlineStr">
        <is>
          <t>CARAMELS D'ISIGNY</t>
        </is>
      </c>
      <c r="G542" s="6" t="inlineStr">
        <is>
          <t>CARAMELS D'ISIGNY</t>
        </is>
      </c>
      <c r="H542" s="6" t="inlineStr">
        <is>
          <t>2.2KG</t>
        </is>
      </c>
      <c r="I542" s="6" t="inlineStr">
        <is>
          <t>2200 g</t>
        </is>
      </c>
      <c r="J542" s="6" t="inlineStr">
        <is>
          <t>NON</t>
        </is>
      </c>
      <c r="K542" s="7" t="inlineStr">
        <is>
          <t>5.5 %</t>
        </is>
      </c>
      <c r="L542" s="8" t="n">
        <v>31.66</v>
      </c>
      <c r="M542" s="9" t="n">
        <v>43</v>
      </c>
      <c r="N542" s="10" t="inlineStr">
        <is>
          <t>PROPOSÉ</t>
        </is>
      </c>
      <c r="O542" s="11">
        <f>IF(M542="","",M542-L542)</f>
        <v/>
      </c>
      <c r="P542" s="12">
        <f>IF(OR(M542="",M542=0),"",(M542-L542)/M542)</f>
        <v/>
      </c>
      <c r="Q542" s="13">
        <f>IF(OR(M542="",L542=0,L542=""),"",M542/L542)</f>
        <v/>
      </c>
      <c r="R542" s="11">
        <f>IF(M542="","",M542*1.055)</f>
        <v/>
      </c>
      <c r="S542" s="14" t="n"/>
      <c r="T542" s="15" t="n"/>
    </row>
    <row r="543">
      <c r="A543" s="16" t="inlineStr">
        <is>
          <t>PROD-0645</t>
        </is>
      </c>
      <c r="B543" s="16" t="inlineStr">
        <is>
          <t>POUDRE DE CARAMEL</t>
        </is>
      </c>
      <c r="C543" s="16" t="inlineStr">
        <is>
          <t>INGREDIENT_PROFESSIONNEL</t>
        </is>
      </c>
      <c r="D543" s="16" t="inlineStr">
        <is>
          <t>PAI</t>
        </is>
      </c>
      <c r="E543" s="16" t="inlineStr">
        <is>
          <t>PREMIUM</t>
        </is>
      </c>
      <c r="F543" s="16" t="inlineStr">
        <is>
          <t>CARAMELS D'ISIGNY</t>
        </is>
      </c>
      <c r="G543" s="16" t="inlineStr">
        <is>
          <t>CARAMELS D'ISIGNY</t>
        </is>
      </c>
      <c r="H543" s="16" t="inlineStr">
        <is>
          <t>2.2KG</t>
        </is>
      </c>
      <c r="I543" s="16" t="inlineStr">
        <is>
          <t>2200 g</t>
        </is>
      </c>
      <c r="J543" s="16" t="inlineStr">
        <is>
          <t>NON</t>
        </is>
      </c>
      <c r="K543" s="17" t="inlineStr">
        <is>
          <t>5.5 %</t>
        </is>
      </c>
      <c r="L543" s="18" t="n">
        <v>29.68</v>
      </c>
      <c r="M543" s="9" t="n">
        <v>40.5</v>
      </c>
      <c r="N543" s="10" t="inlineStr">
        <is>
          <t>PROPOSÉ</t>
        </is>
      </c>
      <c r="O543" s="11">
        <f>IF(M543="","",M543-L543)</f>
        <v/>
      </c>
      <c r="P543" s="12">
        <f>IF(OR(M543="",M543=0),"",(M543-L543)/M543)</f>
        <v/>
      </c>
      <c r="Q543" s="13">
        <f>IF(OR(M543="",L543=0,L543=""),"",M543/L543)</f>
        <v/>
      </c>
      <c r="R543" s="11">
        <f>IF(M543="","",M543*1.055)</f>
        <v/>
      </c>
      <c r="S543" s="14" t="n"/>
      <c r="T543" s="15" t="n"/>
    </row>
    <row r="544">
      <c r="A544" s="6" t="inlineStr">
        <is>
          <t>PROD-0154</t>
        </is>
      </c>
      <c r="B544" s="6" t="inlineStr">
        <is>
          <t>Ris de veau cèpes 90 grs</t>
        </is>
      </c>
      <c r="C544" s="6" t="inlineStr">
        <is>
          <t>TRAITEUR_CHARCUTERIE</t>
        </is>
      </c>
      <c r="D544" s="6" t="inlineStr">
        <is>
          <t>CHARCUTERIE_ET_TERRINE</t>
        </is>
      </c>
      <c r="E544" s="6" t="inlineStr">
        <is>
          <t>ESSENTIEL</t>
        </is>
      </c>
      <c r="F544" s="6" t="inlineStr">
        <is>
          <t>LES DINATOIRES DU PÈRE ROUPSARD</t>
        </is>
      </c>
      <c r="G544" s="6" t="inlineStr">
        <is>
          <t>NORMAND DIRECT TERROIR</t>
        </is>
      </c>
      <c r="H544" s="6" t="inlineStr"/>
      <c r="I544" s="6" t="inlineStr">
        <is>
          <t>90 g</t>
        </is>
      </c>
      <c r="J544" s="6" t="inlineStr">
        <is>
          <t>NON</t>
        </is>
      </c>
      <c r="K544" s="7" t="inlineStr">
        <is>
          <t>5.5 %</t>
        </is>
      </c>
      <c r="L544" s="8" t="n">
        <v>4</v>
      </c>
      <c r="M544" s="9" t="n">
        <v>8.800000000000001</v>
      </c>
      <c r="N544" s="10" t="inlineStr">
        <is>
          <t>PROPOSÉ</t>
        </is>
      </c>
      <c r="O544" s="11">
        <f>IF(M544="","",M544-L544)</f>
        <v/>
      </c>
      <c r="P544" s="12">
        <f>IF(OR(M544="",M544=0),"",(M544-L544)/M544)</f>
        <v/>
      </c>
      <c r="Q544" s="13">
        <f>IF(OR(M544="",L544=0,L544=""),"",M544/L544)</f>
        <v/>
      </c>
      <c r="R544" s="11">
        <f>IF(M544="","",M544*1.055)</f>
        <v/>
      </c>
      <c r="S544" s="14" t="n"/>
      <c r="T544" s="15" t="n"/>
    </row>
    <row r="545">
      <c r="A545" s="16" t="inlineStr">
        <is>
          <t>PROD-0094</t>
        </is>
      </c>
      <c r="B545" s="16" t="inlineStr">
        <is>
          <t>Pâté de foie aux pommes calva 180 grs</t>
        </is>
      </c>
      <c r="C545" s="16" t="inlineStr">
        <is>
          <t>TRAITEUR_CHARCUTERIE</t>
        </is>
      </c>
      <c r="D545" s="16" t="inlineStr">
        <is>
          <t>CHARCUTERIE_ET_TERRINE</t>
        </is>
      </c>
      <c r="E545" s="16" t="inlineStr">
        <is>
          <t>ESSENTIEL</t>
        </is>
      </c>
      <c r="F545" s="16" t="inlineStr">
        <is>
          <t>PÈRE ROUPSARD</t>
        </is>
      </c>
      <c r="G545" s="16" t="inlineStr">
        <is>
          <t>NORMAND DIRECT TERROIR</t>
        </is>
      </c>
      <c r="H545" s="16" t="inlineStr">
        <is>
          <t>TRAITEUR 180 Gr</t>
        </is>
      </c>
      <c r="I545" s="16" t="inlineStr">
        <is>
          <t>180 g</t>
        </is>
      </c>
      <c r="J545" s="16" t="inlineStr">
        <is>
          <t>NON</t>
        </is>
      </c>
      <c r="K545" s="17" t="inlineStr">
        <is>
          <t>5.5 %</t>
        </is>
      </c>
      <c r="L545" s="18" t="n">
        <v>3.98</v>
      </c>
      <c r="M545" s="9" t="n">
        <v>8.800000000000001</v>
      </c>
      <c r="N545" s="10" t="inlineStr">
        <is>
          <t>PROPOSÉ</t>
        </is>
      </c>
      <c r="O545" s="11">
        <f>IF(M545="","",M545-L545)</f>
        <v/>
      </c>
      <c r="P545" s="12">
        <f>IF(OR(M545="",M545=0),"",(M545-L545)/M545)</f>
        <v/>
      </c>
      <c r="Q545" s="13">
        <f>IF(OR(M545="",L545=0,L545=""),"",M545/L545)</f>
        <v/>
      </c>
      <c r="R545" s="11">
        <f>IF(M545="","",M545*1.055)</f>
        <v/>
      </c>
      <c r="S545" s="14" t="n"/>
      <c r="T545" s="15" t="n"/>
    </row>
    <row r="546">
      <c r="A546" s="6" t="inlineStr">
        <is>
          <t>PROD-0095</t>
        </is>
      </c>
      <c r="B546" s="6" t="inlineStr">
        <is>
          <t>Terrine de campagne 180 grs</t>
        </is>
      </c>
      <c r="C546" s="6" t="inlineStr">
        <is>
          <t>TRAITEUR_CHARCUTERIE</t>
        </is>
      </c>
      <c r="D546" s="6" t="inlineStr">
        <is>
          <t>CHARCUTERIE_ET_TERRINE</t>
        </is>
      </c>
      <c r="E546" s="6" t="inlineStr">
        <is>
          <t>ESSENTIEL</t>
        </is>
      </c>
      <c r="F546" s="6" t="inlineStr">
        <is>
          <t>PÈRE ROUPSARD</t>
        </is>
      </c>
      <c r="G546" s="6" t="inlineStr">
        <is>
          <t>NORMAND DIRECT TERROIR</t>
        </is>
      </c>
      <c r="H546" s="6" t="inlineStr">
        <is>
          <t>TRAITEUR 180 Gr</t>
        </is>
      </c>
      <c r="I546" s="6" t="inlineStr">
        <is>
          <t>180 g</t>
        </is>
      </c>
      <c r="J546" s="6" t="inlineStr">
        <is>
          <t>NON</t>
        </is>
      </c>
      <c r="K546" s="7" t="inlineStr">
        <is>
          <t>5.5 %</t>
        </is>
      </c>
      <c r="L546" s="8" t="n">
        <v>3.98</v>
      </c>
      <c r="M546" s="9" t="n">
        <v>8.800000000000001</v>
      </c>
      <c r="N546" s="10" t="inlineStr">
        <is>
          <t>PROPOSÉ</t>
        </is>
      </c>
      <c r="O546" s="11">
        <f>IF(M546="","",M546-L546)</f>
        <v/>
      </c>
      <c r="P546" s="12">
        <f>IF(OR(M546="",M546=0),"",(M546-L546)/M546)</f>
        <v/>
      </c>
      <c r="Q546" s="13">
        <f>IF(OR(M546="",L546=0,L546=""),"",M546/L546)</f>
        <v/>
      </c>
      <c r="R546" s="11">
        <f>IF(M546="","",M546*1.055)</f>
        <v/>
      </c>
      <c r="S546" s="14" t="n"/>
      <c r="T546" s="15" t="n"/>
    </row>
    <row r="547">
      <c r="A547" s="16" t="inlineStr">
        <is>
          <t>PROD-0096</t>
        </is>
      </c>
      <c r="B547" s="16" t="inlineStr">
        <is>
          <t>Rillettes de porc fumé 180 grs</t>
        </is>
      </c>
      <c r="C547" s="16" t="inlineStr">
        <is>
          <t>TRAITEUR_CHARCUTERIE</t>
        </is>
      </c>
      <c r="D547" s="16" t="inlineStr">
        <is>
          <t>CHARCUTERIE_ET_TERRINE</t>
        </is>
      </c>
      <c r="E547" s="16" t="inlineStr">
        <is>
          <t>ESSENTIEL</t>
        </is>
      </c>
      <c r="F547" s="16" t="inlineStr">
        <is>
          <t>PÈRE ROUPSARD</t>
        </is>
      </c>
      <c r="G547" s="16" t="inlineStr">
        <is>
          <t>NORMAND DIRECT TERROIR</t>
        </is>
      </c>
      <c r="H547" s="16" t="inlineStr">
        <is>
          <t>TRAITEUR 180 Gr</t>
        </is>
      </c>
      <c r="I547" s="16" t="inlineStr">
        <is>
          <t>180 g</t>
        </is>
      </c>
      <c r="J547" s="16" t="inlineStr">
        <is>
          <t>NON</t>
        </is>
      </c>
      <c r="K547" s="17" t="inlineStr">
        <is>
          <t>5.5 %</t>
        </is>
      </c>
      <c r="L547" s="18" t="n">
        <v>3.98</v>
      </c>
      <c r="M547" s="9" t="n">
        <v>8.800000000000001</v>
      </c>
      <c r="N547" s="10" t="inlineStr">
        <is>
          <t>PROPOSÉ</t>
        </is>
      </c>
      <c r="O547" s="11">
        <f>IF(M547="","",M547-L547)</f>
        <v/>
      </c>
      <c r="P547" s="12">
        <f>IF(OR(M547="",M547=0),"",(M547-L547)/M547)</f>
        <v/>
      </c>
      <c r="Q547" s="13">
        <f>IF(OR(M547="",L547=0,L547=""),"",M547/L547)</f>
        <v/>
      </c>
      <c r="R547" s="11">
        <f>IF(M547="","",M547*1.055)</f>
        <v/>
      </c>
      <c r="S547" s="14" t="n"/>
      <c r="T547" s="15" t="n"/>
    </row>
    <row r="548">
      <c r="A548" s="6" t="inlineStr">
        <is>
          <t>PROD-0097</t>
        </is>
      </c>
      <c r="B548" s="6" t="inlineStr">
        <is>
          <t>Rillettes de porc à l'anciènne 180 grs</t>
        </is>
      </c>
      <c r="C548" s="6" t="inlineStr">
        <is>
          <t>TRAITEUR_CHARCUTERIE</t>
        </is>
      </c>
      <c r="D548" s="6" t="inlineStr">
        <is>
          <t>CHARCUTERIE_ET_TERRINE</t>
        </is>
      </c>
      <c r="E548" s="6" t="inlineStr">
        <is>
          <t>ESSENTIEL</t>
        </is>
      </c>
      <c r="F548" s="6" t="inlineStr">
        <is>
          <t>PÈRE ROUPSARD</t>
        </is>
      </c>
      <c r="G548" s="6" t="inlineStr">
        <is>
          <t>NORMAND DIRECT TERROIR</t>
        </is>
      </c>
      <c r="H548" s="6" t="inlineStr">
        <is>
          <t>TRAITEUR 180 Gr</t>
        </is>
      </c>
      <c r="I548" s="6" t="inlineStr">
        <is>
          <t>180 g</t>
        </is>
      </c>
      <c r="J548" s="6" t="inlineStr">
        <is>
          <t>NON</t>
        </is>
      </c>
      <c r="K548" s="7" t="inlineStr">
        <is>
          <t>5.5 %</t>
        </is>
      </c>
      <c r="L548" s="8" t="n">
        <v>3.98</v>
      </c>
      <c r="M548" s="9" t="n">
        <v>8.800000000000001</v>
      </c>
      <c r="N548" s="10" t="inlineStr">
        <is>
          <t>PROPOSÉ</t>
        </is>
      </c>
      <c r="O548" s="11">
        <f>IF(M548="","",M548-L548)</f>
        <v/>
      </c>
      <c r="P548" s="12">
        <f>IF(OR(M548="",M548=0),"",(M548-L548)/M548)</f>
        <v/>
      </c>
      <c r="Q548" s="13">
        <f>IF(OR(M548="",L548=0,L548=""),"",M548/L548)</f>
        <v/>
      </c>
      <c r="R548" s="11">
        <f>IF(M548="","",M548*1.055)</f>
        <v/>
      </c>
      <c r="S548" s="14" t="n"/>
      <c r="T548" s="15" t="n"/>
    </row>
    <row r="549">
      <c r="A549" s="16" t="inlineStr">
        <is>
          <t>PROD-0098</t>
        </is>
      </c>
      <c r="B549" s="16" t="inlineStr">
        <is>
          <t>Rillettes du Cotentin 180 grs</t>
        </is>
      </c>
      <c r="C549" s="16" t="inlineStr">
        <is>
          <t>TRAITEUR_CHARCUTERIE</t>
        </is>
      </c>
      <c r="D549" s="16" t="inlineStr">
        <is>
          <t>CHARCUTERIE_ET_TERRINE</t>
        </is>
      </c>
      <c r="E549" s="16" t="inlineStr">
        <is>
          <t>ESSENTIEL</t>
        </is>
      </c>
      <c r="F549" s="16" t="inlineStr">
        <is>
          <t>PÈRE ROUPSARD</t>
        </is>
      </c>
      <c r="G549" s="16" t="inlineStr">
        <is>
          <t>NORMAND DIRECT TERROIR</t>
        </is>
      </c>
      <c r="H549" s="16" t="inlineStr">
        <is>
          <t>TRAITEUR 180 Gr</t>
        </is>
      </c>
      <c r="I549" s="16" t="inlineStr">
        <is>
          <t>180 g</t>
        </is>
      </c>
      <c r="J549" s="16" t="inlineStr">
        <is>
          <t>NON</t>
        </is>
      </c>
      <c r="K549" s="17" t="inlineStr">
        <is>
          <t>5.5 %</t>
        </is>
      </c>
      <c r="L549" s="18" t="n">
        <v>3.98</v>
      </c>
      <c r="M549" s="9" t="n">
        <v>8.800000000000001</v>
      </c>
      <c r="N549" s="10" t="inlineStr">
        <is>
          <t>PROPOSÉ</t>
        </is>
      </c>
      <c r="O549" s="11">
        <f>IF(M549="","",M549-L549)</f>
        <v/>
      </c>
      <c r="P549" s="12">
        <f>IF(OR(M549="",M549=0),"",(M549-L549)/M549)</f>
        <v/>
      </c>
      <c r="Q549" s="13">
        <f>IF(OR(M549="",L549=0,L549=""),"",M549/L549)</f>
        <v/>
      </c>
      <c r="R549" s="11">
        <f>IF(M549="","",M549*1.055)</f>
        <v/>
      </c>
      <c r="S549" s="14" t="n"/>
      <c r="T549" s="15" t="n"/>
    </row>
    <row r="550">
      <c r="A550" s="6" t="inlineStr">
        <is>
          <t>PROD-0099</t>
        </is>
      </c>
      <c r="B550" s="6" t="inlineStr">
        <is>
          <t>Terrine de canard aux pommes 180 grs</t>
        </is>
      </c>
      <c r="C550" s="6" t="inlineStr">
        <is>
          <t>TRAITEUR_CHARCUTERIE</t>
        </is>
      </c>
      <c r="D550" s="6" t="inlineStr">
        <is>
          <t>CHARCUTERIE_ET_TERRINE</t>
        </is>
      </c>
      <c r="E550" s="6" t="inlineStr">
        <is>
          <t>ESSENTIEL</t>
        </is>
      </c>
      <c r="F550" s="6" t="inlineStr">
        <is>
          <t>PÈRE ROUPSARD</t>
        </is>
      </c>
      <c r="G550" s="6" t="inlineStr">
        <is>
          <t>NORMAND DIRECT TERROIR</t>
        </is>
      </c>
      <c r="H550" s="6" t="inlineStr">
        <is>
          <t>TRAITEUR 180 Gr</t>
        </is>
      </c>
      <c r="I550" s="6" t="inlineStr">
        <is>
          <t>180 g</t>
        </is>
      </c>
      <c r="J550" s="6" t="inlineStr">
        <is>
          <t>NON</t>
        </is>
      </c>
      <c r="K550" s="7" t="inlineStr">
        <is>
          <t>5.5 %</t>
        </is>
      </c>
      <c r="L550" s="8" t="n">
        <v>3.98</v>
      </c>
      <c r="M550" s="9" t="n">
        <v>8.800000000000001</v>
      </c>
      <c r="N550" s="10" t="inlineStr">
        <is>
          <t>PROPOSÉ</t>
        </is>
      </c>
      <c r="O550" s="11">
        <f>IF(M550="","",M550-L550)</f>
        <v/>
      </c>
      <c r="P550" s="12">
        <f>IF(OR(M550="",M550=0),"",(M550-L550)/M550)</f>
        <v/>
      </c>
      <c r="Q550" s="13">
        <f>IF(OR(M550="",L550=0,L550=""),"",M550/L550)</f>
        <v/>
      </c>
      <c r="R550" s="11">
        <f>IF(M550="","",M550*1.055)</f>
        <v/>
      </c>
      <c r="S550" s="14" t="n"/>
      <c r="T550" s="15" t="n"/>
    </row>
    <row r="551">
      <c r="A551" s="16" t="inlineStr">
        <is>
          <t>PROD-0100</t>
        </is>
      </c>
      <c r="B551" s="16" t="inlineStr">
        <is>
          <t>Terrine de lapin au pommeau 180 grs</t>
        </is>
      </c>
      <c r="C551" s="16" t="inlineStr">
        <is>
          <t>TRAITEUR_CHARCUTERIE</t>
        </is>
      </c>
      <c r="D551" s="16" t="inlineStr">
        <is>
          <t>CHARCUTERIE_ET_TERRINE</t>
        </is>
      </c>
      <c r="E551" s="16" t="inlineStr">
        <is>
          <t>ESSENTIEL</t>
        </is>
      </c>
      <c r="F551" s="16" t="inlineStr">
        <is>
          <t>PÈRE ROUPSARD</t>
        </is>
      </c>
      <c r="G551" s="16" t="inlineStr">
        <is>
          <t>NORMAND DIRECT TERROIR</t>
        </is>
      </c>
      <c r="H551" s="16" t="inlineStr">
        <is>
          <t>TRAITEUR 180 Gr</t>
        </is>
      </c>
      <c r="I551" s="16" t="inlineStr">
        <is>
          <t>180 g</t>
        </is>
      </c>
      <c r="J551" s="16" t="inlineStr">
        <is>
          <t>INGREDIENT_ALCOOLISE</t>
        </is>
      </c>
      <c r="K551" s="17" t="inlineStr">
        <is>
          <t>5.5 %</t>
        </is>
      </c>
      <c r="L551" s="18" t="n">
        <v>3.98</v>
      </c>
      <c r="M551" s="9" t="n">
        <v>8.800000000000001</v>
      </c>
      <c r="N551" s="10" t="inlineStr">
        <is>
          <t>PROPOSÉ</t>
        </is>
      </c>
      <c r="O551" s="11">
        <f>IF(M551="","",M551-L551)</f>
        <v/>
      </c>
      <c r="P551" s="12">
        <f>IF(OR(M551="",M551=0),"",(M551-L551)/M551)</f>
        <v/>
      </c>
      <c r="Q551" s="13">
        <f>IF(OR(M551="",L551=0,L551=""),"",M551/L551)</f>
        <v/>
      </c>
      <c r="R551" s="11">
        <f>IF(M551="","",M551*1.055)</f>
        <v/>
      </c>
      <c r="S551" s="14" t="n"/>
      <c r="T551" s="15" t="n"/>
    </row>
    <row r="552">
      <c r="A552" s="6" t="inlineStr">
        <is>
          <t>PROD-0101</t>
        </is>
      </c>
      <c r="B552" s="6" t="inlineStr">
        <is>
          <t>Terrine porc livarot 180 grs</t>
        </is>
      </c>
      <c r="C552" s="6" t="inlineStr">
        <is>
          <t>TRAITEUR_CHARCUTERIE</t>
        </is>
      </c>
      <c r="D552" s="6" t="inlineStr">
        <is>
          <t>CHARCUTERIE_ET_TERRINE</t>
        </is>
      </c>
      <c r="E552" s="6" t="inlineStr">
        <is>
          <t>ESSENTIEL</t>
        </is>
      </c>
      <c r="F552" s="6" t="inlineStr">
        <is>
          <t>PÈRE ROUPSARD</t>
        </is>
      </c>
      <c r="G552" s="6" t="inlineStr">
        <is>
          <t>NORMAND DIRECT TERROIR</t>
        </is>
      </c>
      <c r="H552" s="6" t="inlineStr">
        <is>
          <t>TRAITEUR 180 Gr</t>
        </is>
      </c>
      <c r="I552" s="6" t="inlineStr">
        <is>
          <t>180 g</t>
        </is>
      </c>
      <c r="J552" s="6" t="inlineStr">
        <is>
          <t>NON</t>
        </is>
      </c>
      <c r="K552" s="7" t="inlineStr">
        <is>
          <t>5.5 %</t>
        </is>
      </c>
      <c r="L552" s="8" t="n">
        <v>3.98</v>
      </c>
      <c r="M552" s="9" t="n">
        <v>8.800000000000001</v>
      </c>
      <c r="N552" s="10" t="inlineStr">
        <is>
          <t>PROPOSÉ</t>
        </is>
      </c>
      <c r="O552" s="11">
        <f>IF(M552="","",M552-L552)</f>
        <v/>
      </c>
      <c r="P552" s="12">
        <f>IF(OR(M552="",M552=0),"",(M552-L552)/M552)</f>
        <v/>
      </c>
      <c r="Q552" s="13">
        <f>IF(OR(M552="",L552=0,L552=""),"",M552/L552)</f>
        <v/>
      </c>
      <c r="R552" s="11">
        <f>IF(M552="","",M552*1.055)</f>
        <v/>
      </c>
      <c r="S552" s="14" t="n"/>
      <c r="T552" s="15" t="n"/>
    </row>
    <row r="553">
      <c r="A553" s="16" t="inlineStr">
        <is>
          <t>PROD-0102</t>
        </is>
      </c>
      <c r="B553" s="16" t="inlineStr">
        <is>
          <t>Terrine porc camembert 180 grs</t>
        </is>
      </c>
      <c r="C553" s="16" t="inlineStr">
        <is>
          <t>TRAITEUR_CHARCUTERIE</t>
        </is>
      </c>
      <c r="D553" s="16" t="inlineStr">
        <is>
          <t>CHARCUTERIE_ET_TERRINE</t>
        </is>
      </c>
      <c r="E553" s="16" t="inlineStr">
        <is>
          <t>ESSENTIEL</t>
        </is>
      </c>
      <c r="F553" s="16" t="inlineStr">
        <is>
          <t>PÈRE ROUPSARD</t>
        </is>
      </c>
      <c r="G553" s="16" t="inlineStr">
        <is>
          <t>NORMAND DIRECT TERROIR</t>
        </is>
      </c>
      <c r="H553" s="16" t="inlineStr">
        <is>
          <t>TRAITEUR 180 Gr</t>
        </is>
      </c>
      <c r="I553" s="16" t="inlineStr">
        <is>
          <t>180 g</t>
        </is>
      </c>
      <c r="J553" s="16" t="inlineStr">
        <is>
          <t>NON</t>
        </is>
      </c>
      <c r="K553" s="17" t="inlineStr">
        <is>
          <t>5.5 %</t>
        </is>
      </c>
      <c r="L553" s="18" t="n">
        <v>3.98</v>
      </c>
      <c r="M553" s="9" t="n">
        <v>8.800000000000001</v>
      </c>
      <c r="N553" s="10" t="inlineStr">
        <is>
          <t>PROPOSÉ</t>
        </is>
      </c>
      <c r="O553" s="11">
        <f>IF(M553="","",M553-L553)</f>
        <v/>
      </c>
      <c r="P553" s="12">
        <f>IF(OR(M553="",M553=0),"",(M553-L553)/M553)</f>
        <v/>
      </c>
      <c r="Q553" s="13">
        <f>IF(OR(M553="",L553=0,L553=""),"",M553/L553)</f>
        <v/>
      </c>
      <c r="R553" s="11">
        <f>IF(M553="","",M553*1.055)</f>
        <v/>
      </c>
      <c r="S553" s="14" t="n"/>
      <c r="T553" s="15" t="n"/>
    </row>
    <row r="554">
      <c r="A554" s="6" t="inlineStr">
        <is>
          <t>PROD-0103</t>
        </is>
      </c>
      <c r="B554" s="6" t="inlineStr">
        <is>
          <t>Terrine campagne au cidre 180 grs</t>
        </is>
      </c>
      <c r="C554" s="6" t="inlineStr">
        <is>
          <t>TRAITEUR_CHARCUTERIE</t>
        </is>
      </c>
      <c r="D554" s="6" t="inlineStr">
        <is>
          <t>CHARCUTERIE_ET_TERRINE</t>
        </is>
      </c>
      <c r="E554" s="6" t="inlineStr">
        <is>
          <t>ESSENTIEL</t>
        </is>
      </c>
      <c r="F554" s="6" t="inlineStr">
        <is>
          <t>PÈRE ROUPSARD</t>
        </is>
      </c>
      <c r="G554" s="6" t="inlineStr">
        <is>
          <t>NORMAND DIRECT TERROIR</t>
        </is>
      </c>
      <c r="H554" s="6" t="inlineStr">
        <is>
          <t>TRAITEUR 180 Gr</t>
        </is>
      </c>
      <c r="I554" s="6" t="inlineStr">
        <is>
          <t>180 g</t>
        </is>
      </c>
      <c r="J554" s="6" t="inlineStr">
        <is>
          <t>INGREDIENT_ALCOOLISE</t>
        </is>
      </c>
      <c r="K554" s="7" t="inlineStr">
        <is>
          <t>5.5 %</t>
        </is>
      </c>
      <c r="L554" s="8" t="n">
        <v>3.98</v>
      </c>
      <c r="M554" s="9" t="n">
        <v>8.800000000000001</v>
      </c>
      <c r="N554" s="10" t="inlineStr">
        <is>
          <t>PROPOSÉ</t>
        </is>
      </c>
      <c r="O554" s="11">
        <f>IF(M554="","",M554-L554)</f>
        <v/>
      </c>
      <c r="P554" s="12">
        <f>IF(OR(M554="",M554=0),"",(M554-L554)/M554)</f>
        <v/>
      </c>
      <c r="Q554" s="13">
        <f>IF(OR(M554="",L554=0,L554=""),"",M554/L554)</f>
        <v/>
      </c>
      <c r="R554" s="11">
        <f>IF(M554="","",M554*1.055)</f>
        <v/>
      </c>
      <c r="S554" s="14" t="n"/>
      <c r="T554" s="15" t="n"/>
    </row>
    <row r="555">
      <c r="A555" s="16" t="inlineStr">
        <is>
          <t>PROD-0104</t>
        </is>
      </c>
      <c r="B555" s="16" t="inlineStr">
        <is>
          <t>Terrine campagne pomme foie gras 180 g</t>
        </is>
      </c>
      <c r="C555" s="16" t="inlineStr">
        <is>
          <t>TRAITEUR_CHARCUTERIE</t>
        </is>
      </c>
      <c r="D555" s="16" t="inlineStr">
        <is>
          <t>FOIE_GRAS</t>
        </is>
      </c>
      <c r="E555" s="16" t="inlineStr">
        <is>
          <t>ESSENTIEL</t>
        </is>
      </c>
      <c r="F555" s="16" t="inlineStr">
        <is>
          <t>PÈRE ROUPSARD</t>
        </is>
      </c>
      <c r="G555" s="16" t="inlineStr">
        <is>
          <t>NORMAND DIRECT TERROIR</t>
        </is>
      </c>
      <c r="H555" s="16" t="inlineStr">
        <is>
          <t>TRAITEUR 180 Gr</t>
        </is>
      </c>
      <c r="I555" s="16" t="inlineStr">
        <is>
          <t>180 g</t>
        </is>
      </c>
      <c r="J555" s="16" t="inlineStr">
        <is>
          <t>NON</t>
        </is>
      </c>
      <c r="K555" s="17" t="inlineStr">
        <is>
          <t>5.5 %</t>
        </is>
      </c>
      <c r="L555" s="18" t="n">
        <v>3.98</v>
      </c>
      <c r="M555" s="9" t="n">
        <v>8.800000000000001</v>
      </c>
      <c r="N555" s="10" t="inlineStr">
        <is>
          <t>PROPOSÉ</t>
        </is>
      </c>
      <c r="O555" s="11">
        <f>IF(M555="","",M555-L555)</f>
        <v/>
      </c>
      <c r="P555" s="12">
        <f>IF(OR(M555="",M555=0),"",(M555-L555)/M555)</f>
        <v/>
      </c>
      <c r="Q555" s="13">
        <f>IF(OR(M555="",L555=0,L555=""),"",M555/L555)</f>
        <v/>
      </c>
      <c r="R555" s="11">
        <f>IF(M555="","",M555*1.055)</f>
        <v/>
      </c>
      <c r="S555" s="14" t="n"/>
      <c r="T555" s="15" t="n"/>
    </row>
    <row r="556">
      <c r="A556" s="6" t="inlineStr">
        <is>
          <t>PROD-0105</t>
        </is>
      </c>
      <c r="B556" s="6" t="inlineStr">
        <is>
          <t>Terrine de lièvre au Calvados 180 grs</t>
        </is>
      </c>
      <c r="C556" s="6" t="inlineStr">
        <is>
          <t>TRAITEUR_CHARCUTERIE</t>
        </is>
      </c>
      <c r="D556" s="6" t="inlineStr">
        <is>
          <t>CHARCUTERIE_ET_TERRINE</t>
        </is>
      </c>
      <c r="E556" s="6" t="inlineStr">
        <is>
          <t>ESSENTIEL</t>
        </is>
      </c>
      <c r="F556" s="6" t="inlineStr">
        <is>
          <t>PÈRE ROUPSARD</t>
        </is>
      </c>
      <c r="G556" s="6" t="inlineStr">
        <is>
          <t>NORMAND DIRECT TERROIR</t>
        </is>
      </c>
      <c r="H556" s="6" t="inlineStr">
        <is>
          <t>TRAITEUR 180 Gr</t>
        </is>
      </c>
      <c r="I556" s="6" t="inlineStr">
        <is>
          <t>180 g</t>
        </is>
      </c>
      <c r="J556" s="6" t="inlineStr">
        <is>
          <t>INGREDIENT_ALCOOLISE</t>
        </is>
      </c>
      <c r="K556" s="7" t="inlineStr">
        <is>
          <t>5.5 %</t>
        </is>
      </c>
      <c r="L556" s="8" t="n">
        <v>3.98</v>
      </c>
      <c r="M556" s="9" t="n">
        <v>8.800000000000001</v>
      </c>
      <c r="N556" s="10" t="inlineStr">
        <is>
          <t>PROPOSÉ</t>
        </is>
      </c>
      <c r="O556" s="11">
        <f>IF(M556="","",M556-L556)</f>
        <v/>
      </c>
      <c r="P556" s="12">
        <f>IF(OR(M556="",M556=0),"",(M556-L556)/M556)</f>
        <v/>
      </c>
      <c r="Q556" s="13">
        <f>IF(OR(M556="",L556=0,L556=""),"",M556/L556)</f>
        <v/>
      </c>
      <c r="R556" s="11">
        <f>IF(M556="","",M556*1.055)</f>
        <v/>
      </c>
      <c r="S556" s="14" t="n"/>
      <c r="T556" s="15" t="n"/>
    </row>
    <row r="557">
      <c r="A557" s="16" t="inlineStr">
        <is>
          <t>PROD-0106</t>
        </is>
      </c>
      <c r="B557" s="16" t="inlineStr">
        <is>
          <t>Terrine de faisan au Calvados 180 grs</t>
        </is>
      </c>
      <c r="C557" s="16" t="inlineStr">
        <is>
          <t>TRAITEUR_CHARCUTERIE</t>
        </is>
      </c>
      <c r="D557" s="16" t="inlineStr">
        <is>
          <t>CHARCUTERIE_ET_TERRINE</t>
        </is>
      </c>
      <c r="E557" s="16" t="inlineStr">
        <is>
          <t>ESSENTIEL</t>
        </is>
      </c>
      <c r="F557" s="16" t="inlineStr">
        <is>
          <t>PÈRE ROUPSARD</t>
        </is>
      </c>
      <c r="G557" s="16" t="inlineStr">
        <is>
          <t>NORMAND DIRECT TERROIR</t>
        </is>
      </c>
      <c r="H557" s="16" t="inlineStr">
        <is>
          <t>TRAITEUR 180 Gr</t>
        </is>
      </c>
      <c r="I557" s="16" t="inlineStr">
        <is>
          <t>180 g</t>
        </is>
      </c>
      <c r="J557" s="16" t="inlineStr">
        <is>
          <t>INGREDIENT_ALCOOLISE</t>
        </is>
      </c>
      <c r="K557" s="17" t="inlineStr">
        <is>
          <t>5.5 %</t>
        </is>
      </c>
      <c r="L557" s="18" t="n">
        <v>3.98</v>
      </c>
      <c r="M557" s="9" t="n">
        <v>8.800000000000001</v>
      </c>
      <c r="N557" s="10" t="inlineStr">
        <is>
          <t>PROPOSÉ</t>
        </is>
      </c>
      <c r="O557" s="11">
        <f>IF(M557="","",M557-L557)</f>
        <v/>
      </c>
      <c r="P557" s="12">
        <f>IF(OR(M557="",M557=0),"",(M557-L557)/M557)</f>
        <v/>
      </c>
      <c r="Q557" s="13">
        <f>IF(OR(M557="",L557=0,L557=""),"",M557/L557)</f>
        <v/>
      </c>
      <c r="R557" s="11">
        <f>IF(M557="","",M557*1.055)</f>
        <v/>
      </c>
      <c r="S557" s="14" t="n"/>
      <c r="T557" s="15" t="n"/>
    </row>
    <row r="558">
      <c r="A558" s="6" t="inlineStr">
        <is>
          <t>PROD-0107</t>
        </is>
      </c>
      <c r="B558" s="6" t="inlineStr">
        <is>
          <t>Terrine pomme porc andouille 180 grs</t>
        </is>
      </c>
      <c r="C558" s="6" t="inlineStr">
        <is>
          <t>TRAITEUR_CHARCUTERIE</t>
        </is>
      </c>
      <c r="D558" s="6" t="inlineStr">
        <is>
          <t>CHARCUTERIE_ET_TERRINE</t>
        </is>
      </c>
      <c r="E558" s="6" t="inlineStr">
        <is>
          <t>ESSENTIEL</t>
        </is>
      </c>
      <c r="F558" s="6" t="inlineStr">
        <is>
          <t>PÈRE ROUPSARD</t>
        </is>
      </c>
      <c r="G558" s="6" t="inlineStr">
        <is>
          <t>NORMAND DIRECT TERROIR</t>
        </is>
      </c>
      <c r="H558" s="6" t="inlineStr">
        <is>
          <t>TRAITEUR 180 Gr</t>
        </is>
      </c>
      <c r="I558" s="6" t="inlineStr">
        <is>
          <t>180 g</t>
        </is>
      </c>
      <c r="J558" s="6" t="inlineStr">
        <is>
          <t>NON</t>
        </is>
      </c>
      <c r="K558" s="7" t="inlineStr">
        <is>
          <t>5.5 %</t>
        </is>
      </c>
      <c r="L558" s="8" t="n">
        <v>3.98</v>
      </c>
      <c r="M558" s="9" t="n">
        <v>8.800000000000001</v>
      </c>
      <c r="N558" s="10" t="inlineStr">
        <is>
          <t>PROPOSÉ</t>
        </is>
      </c>
      <c r="O558" s="11">
        <f>IF(M558="","",M558-L558)</f>
        <v/>
      </c>
      <c r="P558" s="12">
        <f>IF(OR(M558="",M558=0),"",(M558-L558)/M558)</f>
        <v/>
      </c>
      <c r="Q558" s="13">
        <f>IF(OR(M558="",L558=0,L558=""),"",M558/L558)</f>
        <v/>
      </c>
      <c r="R558" s="11">
        <f>IF(M558="","",M558*1.055)</f>
        <v/>
      </c>
      <c r="S558" s="14" t="n"/>
      <c r="T558" s="15" t="n"/>
    </row>
    <row r="559">
      <c r="A559" s="16" t="inlineStr">
        <is>
          <t>PROD-0108</t>
        </is>
      </c>
      <c r="B559" s="16" t="inlineStr">
        <is>
          <t>Rillettes de poulet citron confit 180 grs</t>
        </is>
      </c>
      <c r="C559" s="16" t="inlineStr">
        <is>
          <t>TRAITEUR_CHARCUTERIE</t>
        </is>
      </c>
      <c r="D559" s="16" t="inlineStr">
        <is>
          <t>CHARCUTERIE_ET_TERRINE</t>
        </is>
      </c>
      <c r="E559" s="16" t="inlineStr">
        <is>
          <t>ESSENTIEL</t>
        </is>
      </c>
      <c r="F559" s="16" t="inlineStr">
        <is>
          <t>PÈRE ROUPSARD</t>
        </is>
      </c>
      <c r="G559" s="16" t="inlineStr">
        <is>
          <t>NORMAND DIRECT TERROIR</t>
        </is>
      </c>
      <c r="H559" s="16" t="inlineStr">
        <is>
          <t>TRAITEUR 180 Gr</t>
        </is>
      </c>
      <c r="I559" s="16" t="inlineStr">
        <is>
          <t>180 g</t>
        </is>
      </c>
      <c r="J559" s="16" t="inlineStr">
        <is>
          <t>NON</t>
        </is>
      </c>
      <c r="K559" s="17" t="inlineStr">
        <is>
          <t>5.5 %</t>
        </is>
      </c>
      <c r="L559" s="18" t="n">
        <v>3.98</v>
      </c>
      <c r="M559" s="9" t="n">
        <v>8.800000000000001</v>
      </c>
      <c r="N559" s="10" t="inlineStr">
        <is>
          <t>PROPOSÉ</t>
        </is>
      </c>
      <c r="O559" s="11">
        <f>IF(M559="","",M559-L559)</f>
        <v/>
      </c>
      <c r="P559" s="12">
        <f>IF(OR(M559="",M559=0),"",(M559-L559)/M559)</f>
        <v/>
      </c>
      <c r="Q559" s="13">
        <f>IF(OR(M559="",L559=0,L559=""),"",M559/L559)</f>
        <v/>
      </c>
      <c r="R559" s="11">
        <f>IF(M559="","",M559*1.055)</f>
        <v/>
      </c>
      <c r="S559" s="14" t="n"/>
      <c r="T559" s="15" t="n"/>
    </row>
    <row r="560">
      <c r="A560" s="6" t="inlineStr">
        <is>
          <t>PROD-0109</t>
        </is>
      </c>
      <c r="B560" s="6" t="inlineStr">
        <is>
          <t>Rillettes de poulet piment d'Espelette 180 grs</t>
        </is>
      </c>
      <c r="C560" s="6" t="inlineStr">
        <is>
          <t>TRAITEUR_CHARCUTERIE</t>
        </is>
      </c>
      <c r="D560" s="6" t="inlineStr">
        <is>
          <t>CHARCUTERIE_ET_TERRINE</t>
        </is>
      </c>
      <c r="E560" s="6" t="inlineStr">
        <is>
          <t>ESSENTIEL</t>
        </is>
      </c>
      <c r="F560" s="6" t="inlineStr">
        <is>
          <t>PÈRE ROUPSARD</t>
        </is>
      </c>
      <c r="G560" s="6" t="inlineStr">
        <is>
          <t>NORMAND DIRECT TERROIR</t>
        </is>
      </c>
      <c r="H560" s="6" t="inlineStr">
        <is>
          <t>TRAITEUR 180 Gr</t>
        </is>
      </c>
      <c r="I560" s="6" t="inlineStr">
        <is>
          <t>180 g</t>
        </is>
      </c>
      <c r="J560" s="6" t="inlineStr">
        <is>
          <t>NON</t>
        </is>
      </c>
      <c r="K560" s="7" t="inlineStr">
        <is>
          <t>5.5 %</t>
        </is>
      </c>
      <c r="L560" s="8" t="n">
        <v>3.98</v>
      </c>
      <c r="M560" s="9" t="n">
        <v>8.800000000000001</v>
      </c>
      <c r="N560" s="10" t="inlineStr">
        <is>
          <t>PROPOSÉ</t>
        </is>
      </c>
      <c r="O560" s="11">
        <f>IF(M560="","",M560-L560)</f>
        <v/>
      </c>
      <c r="P560" s="12">
        <f>IF(OR(M560="",M560=0),"",(M560-L560)/M560)</f>
        <v/>
      </c>
      <c r="Q560" s="13">
        <f>IF(OR(M560="",L560=0,L560=""),"",M560/L560)</f>
        <v/>
      </c>
      <c r="R560" s="11">
        <f>IF(M560="","",M560*1.055)</f>
        <v/>
      </c>
      <c r="S560" s="14" t="n"/>
      <c r="T560" s="15" t="n"/>
    </row>
    <row r="561">
      <c r="A561" s="16" t="inlineStr">
        <is>
          <t>PROD-0110</t>
        </is>
      </c>
      <c r="B561" s="16" t="inlineStr">
        <is>
          <t>Rillettes de poulet poivre vert 180 grs</t>
        </is>
      </c>
      <c r="C561" s="16" t="inlineStr">
        <is>
          <t>TRAITEUR_CHARCUTERIE</t>
        </is>
      </c>
      <c r="D561" s="16" t="inlineStr">
        <is>
          <t>CHARCUTERIE_ET_TERRINE</t>
        </is>
      </c>
      <c r="E561" s="16" t="inlineStr">
        <is>
          <t>ESSENTIEL</t>
        </is>
      </c>
      <c r="F561" s="16" t="inlineStr">
        <is>
          <t>PÈRE ROUPSARD</t>
        </is>
      </c>
      <c r="G561" s="16" t="inlineStr">
        <is>
          <t>NORMAND DIRECT TERROIR</t>
        </is>
      </c>
      <c r="H561" s="16" t="inlineStr">
        <is>
          <t>TRAITEUR 180 Gr</t>
        </is>
      </c>
      <c r="I561" s="16" t="inlineStr">
        <is>
          <t>180 g</t>
        </is>
      </c>
      <c r="J561" s="16" t="inlineStr">
        <is>
          <t>NON</t>
        </is>
      </c>
      <c r="K561" s="17" t="inlineStr">
        <is>
          <t>5.5 %</t>
        </is>
      </c>
      <c r="L561" s="18" t="n">
        <v>3.98</v>
      </c>
      <c r="M561" s="9" t="n">
        <v>8.800000000000001</v>
      </c>
      <c r="N561" s="10" t="inlineStr">
        <is>
          <t>PROPOSÉ</t>
        </is>
      </c>
      <c r="O561" s="11">
        <f>IF(M561="","",M561-L561)</f>
        <v/>
      </c>
      <c r="P561" s="12">
        <f>IF(OR(M561="",M561=0),"",(M561-L561)/M561)</f>
        <v/>
      </c>
      <c r="Q561" s="13">
        <f>IF(OR(M561="",L561=0,L561=""),"",M561/L561)</f>
        <v/>
      </c>
      <c r="R561" s="11">
        <f>IF(M561="","",M561*1.055)</f>
        <v/>
      </c>
      <c r="S561" s="14" t="n"/>
      <c r="T561" s="15" t="n"/>
    </row>
    <row r="562">
      <c r="A562" s="6" t="inlineStr">
        <is>
          <t>PROD-0111</t>
        </is>
      </c>
      <c r="B562" s="6" t="inlineStr">
        <is>
          <t>Rillettes de canard au foie gras 180 grs</t>
        </is>
      </c>
      <c r="C562" s="6" t="inlineStr">
        <is>
          <t>TRAITEUR_CHARCUTERIE</t>
        </is>
      </c>
      <c r="D562" s="6" t="inlineStr">
        <is>
          <t>FOIE_GRAS</t>
        </is>
      </c>
      <c r="E562" s="6" t="inlineStr">
        <is>
          <t>ESSENTIEL</t>
        </is>
      </c>
      <c r="F562" s="6" t="inlineStr">
        <is>
          <t>PÈRE ROUPSARD</t>
        </is>
      </c>
      <c r="G562" s="6" t="inlineStr">
        <is>
          <t>NORMAND DIRECT TERROIR</t>
        </is>
      </c>
      <c r="H562" s="6" t="inlineStr">
        <is>
          <t>TRAITEUR 180 Gr</t>
        </is>
      </c>
      <c r="I562" s="6" t="inlineStr">
        <is>
          <t>180 g</t>
        </is>
      </c>
      <c r="J562" s="6" t="inlineStr">
        <is>
          <t>NON</t>
        </is>
      </c>
      <c r="K562" s="7" t="inlineStr">
        <is>
          <t>5.5 %</t>
        </is>
      </c>
      <c r="L562" s="8" t="n">
        <v>3.98</v>
      </c>
      <c r="M562" s="9" t="n">
        <v>8.800000000000001</v>
      </c>
      <c r="N562" s="10" t="inlineStr">
        <is>
          <t>PROPOSÉ</t>
        </is>
      </c>
      <c r="O562" s="11">
        <f>IF(M562="","",M562-L562)</f>
        <v/>
      </c>
      <c r="P562" s="12">
        <f>IF(OR(M562="",M562=0),"",(M562-L562)/M562)</f>
        <v/>
      </c>
      <c r="Q562" s="13">
        <f>IF(OR(M562="",L562=0,L562=""),"",M562/L562)</f>
        <v/>
      </c>
      <c r="R562" s="11">
        <f>IF(M562="","",M562*1.055)</f>
        <v/>
      </c>
      <c r="S562" s="14" t="n"/>
      <c r="T562" s="15" t="n"/>
    </row>
    <row r="563">
      <c r="A563" s="16" t="inlineStr">
        <is>
          <t>PROD-0093</t>
        </is>
      </c>
      <c r="B563" s="16" t="inlineStr">
        <is>
          <t>Boudin campagnard aux pommes 180 grs</t>
        </is>
      </c>
      <c r="C563" s="16" t="inlineStr">
        <is>
          <t>TRAITEUR_CHARCUTERIE</t>
        </is>
      </c>
      <c r="D563" s="16" t="inlineStr">
        <is>
          <t>CHARCUTERIE_ET_TERRINE</t>
        </is>
      </c>
      <c r="E563" s="16" t="inlineStr">
        <is>
          <t>ESSENTIEL</t>
        </is>
      </c>
      <c r="F563" s="16" t="inlineStr">
        <is>
          <t>PÈRE ROUPSARD</t>
        </is>
      </c>
      <c r="G563" s="16" t="inlineStr">
        <is>
          <t>NORMAND DIRECT TERROIR</t>
        </is>
      </c>
      <c r="H563" s="16" t="inlineStr">
        <is>
          <t>TRAITEUR 180 Gr</t>
        </is>
      </c>
      <c r="I563" s="16" t="inlineStr">
        <is>
          <t>180 g</t>
        </is>
      </c>
      <c r="J563" s="16" t="inlineStr">
        <is>
          <t>NON</t>
        </is>
      </c>
      <c r="K563" s="17" t="inlineStr">
        <is>
          <t>5.5 %</t>
        </is>
      </c>
      <c r="L563" s="18" t="n">
        <v>3.55</v>
      </c>
      <c r="M563" s="9" t="n">
        <v>7.8</v>
      </c>
      <c r="N563" s="10" t="inlineStr">
        <is>
          <t>PROPOSÉ</t>
        </is>
      </c>
      <c r="O563" s="11">
        <f>IF(M563="","",M563-L563)</f>
        <v/>
      </c>
      <c r="P563" s="12">
        <f>IF(OR(M563="",M563=0),"",(M563-L563)/M563)</f>
        <v/>
      </c>
      <c r="Q563" s="13">
        <f>IF(OR(M563="",L563=0,L563=""),"",M563/L563)</f>
        <v/>
      </c>
      <c r="R563" s="11">
        <f>IF(M563="","",M563*1.055)</f>
        <v/>
      </c>
      <c r="S563" s="14" t="n"/>
      <c r="T563" s="15" t="n"/>
    </row>
    <row r="564">
      <c r="A564" s="6" t="inlineStr">
        <is>
          <t>PROD-0142</t>
        </is>
      </c>
      <c r="B564" s="6" t="inlineStr">
        <is>
          <t>Boudin gelée de pomme 90 grs</t>
        </is>
      </c>
      <c r="C564" s="6" t="inlineStr">
        <is>
          <t>TRAITEUR_CHARCUTERIE</t>
        </is>
      </c>
      <c r="D564" s="6" t="inlineStr">
        <is>
          <t>CHARCUTERIE_ET_TERRINE</t>
        </is>
      </c>
      <c r="E564" s="6" t="inlineStr">
        <is>
          <t>ESSENTIEL</t>
        </is>
      </c>
      <c r="F564" s="6" t="inlineStr">
        <is>
          <t>LES DINATOIRES DU PÈRE ROUPSARD</t>
        </is>
      </c>
      <c r="G564" s="6" t="inlineStr">
        <is>
          <t>NORMAND DIRECT TERROIR</t>
        </is>
      </c>
      <c r="H564" s="6" t="inlineStr"/>
      <c r="I564" s="6" t="inlineStr">
        <is>
          <t>90 g</t>
        </is>
      </c>
      <c r="J564" s="6" t="inlineStr">
        <is>
          <t>NON</t>
        </is>
      </c>
      <c r="K564" s="7" t="inlineStr">
        <is>
          <t>5.5 %</t>
        </is>
      </c>
      <c r="L564" s="8" t="n">
        <v>3.16</v>
      </c>
      <c r="M564" s="9" t="n">
        <v>7</v>
      </c>
      <c r="N564" s="10" t="inlineStr">
        <is>
          <t>PROPOSÉ</t>
        </is>
      </c>
      <c r="O564" s="11">
        <f>IF(M564="","",M564-L564)</f>
        <v/>
      </c>
      <c r="P564" s="12">
        <f>IF(OR(M564="",M564=0),"",(M564-L564)/M564)</f>
        <v/>
      </c>
      <c r="Q564" s="13">
        <f>IF(OR(M564="",L564=0,L564=""),"",M564/L564)</f>
        <v/>
      </c>
      <c r="R564" s="11">
        <f>IF(M564="","",M564*1.055)</f>
        <v/>
      </c>
      <c r="S564" s="14" t="n"/>
      <c r="T564" s="15" t="n"/>
    </row>
    <row r="565">
      <c r="A565" s="16" t="inlineStr">
        <is>
          <t>PROD-0144</t>
        </is>
      </c>
      <c r="B565" s="16" t="inlineStr">
        <is>
          <t>Andouille pommeau 90 grs</t>
        </is>
      </c>
      <c r="C565" s="16" t="inlineStr">
        <is>
          <t>TRAITEUR_CHARCUTERIE</t>
        </is>
      </c>
      <c r="D565" s="16" t="inlineStr">
        <is>
          <t>CHARCUTERIE_ET_TERRINE</t>
        </is>
      </c>
      <c r="E565" s="16" t="inlineStr">
        <is>
          <t>ESSENTIEL</t>
        </is>
      </c>
      <c r="F565" s="16" t="inlineStr">
        <is>
          <t>LES DINATOIRES DU PÈRE ROUPSARD</t>
        </is>
      </c>
      <c r="G565" s="16" t="inlineStr">
        <is>
          <t>NORMAND DIRECT TERROIR</t>
        </is>
      </c>
      <c r="H565" s="16" t="inlineStr"/>
      <c r="I565" s="16" t="inlineStr">
        <is>
          <t>90 g</t>
        </is>
      </c>
      <c r="J565" s="16" t="inlineStr">
        <is>
          <t>INGREDIENT_ALCOOLISE</t>
        </is>
      </c>
      <c r="K565" s="17" t="inlineStr">
        <is>
          <t>5.5 %</t>
        </is>
      </c>
      <c r="L565" s="18" t="n">
        <v>3.16</v>
      </c>
      <c r="M565" s="9" t="n">
        <v>7</v>
      </c>
      <c r="N565" s="10" t="inlineStr">
        <is>
          <t>PROPOSÉ</t>
        </is>
      </c>
      <c r="O565" s="11">
        <f>IF(M565="","",M565-L565)</f>
        <v/>
      </c>
      <c r="P565" s="12">
        <f>IF(OR(M565="",M565=0),"",(M565-L565)/M565)</f>
        <v/>
      </c>
      <c r="Q565" s="13">
        <f>IF(OR(M565="",L565=0,L565=""),"",M565/L565)</f>
        <v/>
      </c>
      <c r="R565" s="11">
        <f>IF(M565="","",M565*1.055)</f>
        <v/>
      </c>
      <c r="S565" s="14" t="n"/>
      <c r="T565" s="15" t="n"/>
    </row>
    <row r="566">
      <c r="A566" s="6" t="inlineStr">
        <is>
          <t>PROD-0145</t>
        </is>
      </c>
      <c r="B566" s="6" t="inlineStr">
        <is>
          <t>Rillette au Chorizo 90 grs</t>
        </is>
      </c>
      <c r="C566" s="6" t="inlineStr">
        <is>
          <t>TRAITEUR_CHARCUTERIE</t>
        </is>
      </c>
      <c r="D566" s="6" t="inlineStr">
        <is>
          <t>CHARCUTERIE_ET_TERRINE</t>
        </is>
      </c>
      <c r="E566" s="6" t="inlineStr">
        <is>
          <t>ESSENTIEL</t>
        </is>
      </c>
      <c r="F566" s="6" t="inlineStr">
        <is>
          <t>LES DINATOIRES DU PÈRE ROUPSARD</t>
        </is>
      </c>
      <c r="G566" s="6" t="inlineStr">
        <is>
          <t>NORMAND DIRECT TERROIR</t>
        </is>
      </c>
      <c r="H566" s="6" t="inlineStr"/>
      <c r="I566" s="6" t="inlineStr">
        <is>
          <t>90 g</t>
        </is>
      </c>
      <c r="J566" s="6" t="inlineStr">
        <is>
          <t>NON</t>
        </is>
      </c>
      <c r="K566" s="7" t="inlineStr">
        <is>
          <t>5.5 %</t>
        </is>
      </c>
      <c r="L566" s="8" t="n">
        <v>3.16</v>
      </c>
      <c r="M566" s="9" t="n">
        <v>7</v>
      </c>
      <c r="N566" s="10" t="inlineStr">
        <is>
          <t>PROPOSÉ</t>
        </is>
      </c>
      <c r="O566" s="11">
        <f>IF(M566="","",M566-L566)</f>
        <v/>
      </c>
      <c r="P566" s="12">
        <f>IF(OR(M566="",M566=0),"",(M566-L566)/M566)</f>
        <v/>
      </c>
      <c r="Q566" s="13">
        <f>IF(OR(M566="",L566=0,L566=""),"",M566/L566)</f>
        <v/>
      </c>
      <c r="R566" s="11">
        <f>IF(M566="","",M566*1.055)</f>
        <v/>
      </c>
      <c r="S566" s="14" t="n"/>
      <c r="T566" s="15" t="n"/>
    </row>
    <row r="567">
      <c r="A567" s="16" t="inlineStr">
        <is>
          <t>PROD-0146</t>
        </is>
      </c>
      <c r="B567" s="16" t="inlineStr">
        <is>
          <t>Camembert au chorizo 90 grs</t>
        </is>
      </c>
      <c r="C567" s="16" t="inlineStr">
        <is>
          <t>TRAITEUR_CHARCUTERIE</t>
        </is>
      </c>
      <c r="D567" s="16" t="inlineStr">
        <is>
          <t>CHARCUTERIE_ET_TERRINE</t>
        </is>
      </c>
      <c r="E567" s="16" t="inlineStr">
        <is>
          <t>ESSENTIEL</t>
        </is>
      </c>
      <c r="F567" s="16" t="inlineStr">
        <is>
          <t>LES DINATOIRES DU PÈRE ROUPSARD</t>
        </is>
      </c>
      <c r="G567" s="16" t="inlineStr">
        <is>
          <t>NORMAND DIRECT TERROIR</t>
        </is>
      </c>
      <c r="H567" s="16" t="inlineStr"/>
      <c r="I567" s="16" t="inlineStr">
        <is>
          <t>90 g</t>
        </is>
      </c>
      <c r="J567" s="16" t="inlineStr">
        <is>
          <t>NON</t>
        </is>
      </c>
      <c r="K567" s="17" t="inlineStr">
        <is>
          <t>5.5 %</t>
        </is>
      </c>
      <c r="L567" s="18" t="n">
        <v>3.16</v>
      </c>
      <c r="M567" s="9" t="n">
        <v>7</v>
      </c>
      <c r="N567" s="10" t="inlineStr">
        <is>
          <t>PROPOSÉ</t>
        </is>
      </c>
      <c r="O567" s="11">
        <f>IF(M567="","",M567-L567)</f>
        <v/>
      </c>
      <c r="P567" s="12">
        <f>IF(OR(M567="",M567=0),"",(M567-L567)/M567)</f>
        <v/>
      </c>
      <c r="Q567" s="13">
        <f>IF(OR(M567="",L567=0,L567=""),"",M567/L567)</f>
        <v/>
      </c>
      <c r="R567" s="11">
        <f>IF(M567="","",M567*1.055)</f>
        <v/>
      </c>
      <c r="S567" s="14" t="n"/>
      <c r="T567" s="15" t="n"/>
    </row>
    <row r="568">
      <c r="A568" s="6" t="inlineStr">
        <is>
          <t>PROD-0147</t>
        </is>
      </c>
      <c r="B568" s="6" t="inlineStr">
        <is>
          <t>Brie de Meaux cernaux de noix 90 grs</t>
        </is>
      </c>
      <c r="C568" s="6" t="inlineStr">
        <is>
          <t>TRAITEUR_CHARCUTERIE</t>
        </is>
      </c>
      <c r="D568" s="6" t="inlineStr">
        <is>
          <t>CHARCUTERIE_ET_TERRINE</t>
        </is>
      </c>
      <c r="E568" s="6" t="inlineStr">
        <is>
          <t>ESSENTIEL</t>
        </is>
      </c>
      <c r="F568" s="6" t="inlineStr">
        <is>
          <t>LES DINATOIRES DU PÈRE ROUPSARD</t>
        </is>
      </c>
      <c r="G568" s="6" t="inlineStr">
        <is>
          <t>NORMAND DIRECT TERROIR</t>
        </is>
      </c>
      <c r="H568" s="6" t="inlineStr"/>
      <c r="I568" s="6" t="inlineStr">
        <is>
          <t>90 g</t>
        </is>
      </c>
      <c r="J568" s="6" t="inlineStr">
        <is>
          <t>NON</t>
        </is>
      </c>
      <c r="K568" s="7" t="inlineStr">
        <is>
          <t>5.5 %</t>
        </is>
      </c>
      <c r="L568" s="8" t="n">
        <v>3.16</v>
      </c>
      <c r="M568" s="9" t="n">
        <v>7</v>
      </c>
      <c r="N568" s="10" t="inlineStr">
        <is>
          <t>PROPOSÉ</t>
        </is>
      </c>
      <c r="O568" s="11">
        <f>IF(M568="","",M568-L568)</f>
        <v/>
      </c>
      <c r="P568" s="12">
        <f>IF(OR(M568="",M568=0),"",(M568-L568)/M568)</f>
        <v/>
      </c>
      <c r="Q568" s="13">
        <f>IF(OR(M568="",L568=0,L568=""),"",M568/L568)</f>
        <v/>
      </c>
      <c r="R568" s="11">
        <f>IF(M568="","",M568*1.055)</f>
        <v/>
      </c>
      <c r="S568" s="14" t="n"/>
      <c r="T568" s="15" t="n"/>
    </row>
    <row r="569">
      <c r="A569" s="16" t="inlineStr">
        <is>
          <t>PROD-0148</t>
        </is>
      </c>
      <c r="B569" s="16" t="inlineStr">
        <is>
          <t>Livarot Calvados 90 grs</t>
        </is>
      </c>
      <c r="C569" s="16" t="inlineStr">
        <is>
          <t>TRAITEUR_CHARCUTERIE</t>
        </is>
      </c>
      <c r="D569" s="16" t="inlineStr">
        <is>
          <t>CHARCUTERIE_ET_TERRINE</t>
        </is>
      </c>
      <c r="E569" s="16" t="inlineStr">
        <is>
          <t>ESSENTIEL</t>
        </is>
      </c>
      <c r="F569" s="16" t="inlineStr">
        <is>
          <t>LES DINATOIRES DU PÈRE ROUPSARD</t>
        </is>
      </c>
      <c r="G569" s="16" t="inlineStr">
        <is>
          <t>NORMAND DIRECT TERROIR</t>
        </is>
      </c>
      <c r="H569" s="16" t="inlineStr"/>
      <c r="I569" s="16" t="inlineStr">
        <is>
          <t>90 g</t>
        </is>
      </c>
      <c r="J569" s="16" t="inlineStr">
        <is>
          <t>INGREDIENT_ALCOOLISE</t>
        </is>
      </c>
      <c r="K569" s="17" t="inlineStr">
        <is>
          <t>5.5 %</t>
        </is>
      </c>
      <c r="L569" s="18" t="n">
        <v>3.16</v>
      </c>
      <c r="M569" s="9" t="n">
        <v>7</v>
      </c>
      <c r="N569" s="10" t="inlineStr">
        <is>
          <t>PROPOSÉ</t>
        </is>
      </c>
      <c r="O569" s="11">
        <f>IF(M569="","",M569-L569)</f>
        <v/>
      </c>
      <c r="P569" s="12">
        <f>IF(OR(M569="",M569=0),"",(M569-L569)/M569)</f>
        <v/>
      </c>
      <c r="Q569" s="13">
        <f>IF(OR(M569="",L569=0,L569=""),"",M569/L569)</f>
        <v/>
      </c>
      <c r="R569" s="11">
        <f>IF(M569="","",M569*1.055)</f>
        <v/>
      </c>
      <c r="S569" s="14" t="n"/>
      <c r="T569" s="15" t="n"/>
    </row>
    <row r="570">
      <c r="A570" s="6" t="inlineStr">
        <is>
          <t>PROD-0149</t>
        </is>
      </c>
      <c r="B570" s="6" t="inlineStr">
        <is>
          <t>Pont l'évêque échalote 90 grs</t>
        </is>
      </c>
      <c r="C570" s="6" t="inlineStr">
        <is>
          <t>TRAITEUR_CHARCUTERIE</t>
        </is>
      </c>
      <c r="D570" s="6" t="inlineStr">
        <is>
          <t>CHARCUTERIE_ET_TERRINE</t>
        </is>
      </c>
      <c r="E570" s="6" t="inlineStr">
        <is>
          <t>ESSENTIEL</t>
        </is>
      </c>
      <c r="F570" s="6" t="inlineStr">
        <is>
          <t>LES DINATOIRES DU PÈRE ROUPSARD</t>
        </is>
      </c>
      <c r="G570" s="6" t="inlineStr">
        <is>
          <t>NORMAND DIRECT TERROIR</t>
        </is>
      </c>
      <c r="H570" s="6" t="inlineStr"/>
      <c r="I570" s="6" t="inlineStr">
        <is>
          <t>90 g</t>
        </is>
      </c>
      <c r="J570" s="6" t="inlineStr">
        <is>
          <t>NON</t>
        </is>
      </c>
      <c r="K570" s="7" t="inlineStr">
        <is>
          <t>5.5 %</t>
        </is>
      </c>
      <c r="L570" s="8" t="n">
        <v>3.16</v>
      </c>
      <c r="M570" s="9" t="n">
        <v>7</v>
      </c>
      <c r="N570" s="10" t="inlineStr">
        <is>
          <t>PROPOSÉ</t>
        </is>
      </c>
      <c r="O570" s="11">
        <f>IF(M570="","",M570-L570)</f>
        <v/>
      </c>
      <c r="P570" s="12">
        <f>IF(OR(M570="",M570=0),"",(M570-L570)/M570)</f>
        <v/>
      </c>
      <c r="Q570" s="13">
        <f>IF(OR(M570="",L570=0,L570=""),"",M570/L570)</f>
        <v/>
      </c>
      <c r="R570" s="11">
        <f>IF(M570="","",M570*1.055)</f>
        <v/>
      </c>
      <c r="S570" s="14" t="n"/>
      <c r="T570" s="15" t="n"/>
    </row>
    <row r="571">
      <c r="A571" s="16" t="inlineStr">
        <is>
          <t>PROD-0150</t>
        </is>
      </c>
      <c r="B571" s="16" t="inlineStr">
        <is>
          <t>Chèvre confit de figue 90 grs</t>
        </is>
      </c>
      <c r="C571" s="16" t="inlineStr">
        <is>
          <t>TRAITEUR_CHARCUTERIE</t>
        </is>
      </c>
      <c r="D571" s="16" t="inlineStr">
        <is>
          <t>CHARCUTERIE_ET_TERRINE</t>
        </is>
      </c>
      <c r="E571" s="16" t="inlineStr">
        <is>
          <t>ESSENTIEL</t>
        </is>
      </c>
      <c r="F571" s="16" t="inlineStr">
        <is>
          <t>LES DINATOIRES DU PÈRE ROUPSARD</t>
        </is>
      </c>
      <c r="G571" s="16" t="inlineStr">
        <is>
          <t>NORMAND DIRECT TERROIR</t>
        </is>
      </c>
      <c r="H571" s="16" t="inlineStr"/>
      <c r="I571" s="16" t="inlineStr">
        <is>
          <t>90 g</t>
        </is>
      </c>
      <c r="J571" s="16" t="inlineStr">
        <is>
          <t>NON</t>
        </is>
      </c>
      <c r="K571" s="17" t="inlineStr">
        <is>
          <t>5.5 %</t>
        </is>
      </c>
      <c r="L571" s="18" t="n">
        <v>3.16</v>
      </c>
      <c r="M571" s="9" t="n">
        <v>7</v>
      </c>
      <c r="N571" s="10" t="inlineStr">
        <is>
          <t>PROPOSÉ</t>
        </is>
      </c>
      <c r="O571" s="11">
        <f>IF(M571="","",M571-L571)</f>
        <v/>
      </c>
      <c r="P571" s="12">
        <f>IF(OR(M571="",M571=0),"",(M571-L571)/M571)</f>
        <v/>
      </c>
      <c r="Q571" s="13">
        <f>IF(OR(M571="",L571=0,L571=""),"",M571/L571)</f>
        <v/>
      </c>
      <c r="R571" s="11">
        <f>IF(M571="","",M571*1.055)</f>
        <v/>
      </c>
      <c r="S571" s="14" t="n"/>
      <c r="T571" s="15" t="n"/>
    </row>
    <row r="572">
      <c r="A572" s="6" t="inlineStr">
        <is>
          <t>PROD-0151</t>
        </is>
      </c>
      <c r="B572" s="6" t="inlineStr">
        <is>
          <t>Bleu tomates confites 90 grs</t>
        </is>
      </c>
      <c r="C572" s="6" t="inlineStr">
        <is>
          <t>TRAITEUR_CHARCUTERIE</t>
        </is>
      </c>
      <c r="D572" s="6" t="inlineStr">
        <is>
          <t>CHARCUTERIE_ET_TERRINE</t>
        </is>
      </c>
      <c r="E572" s="6" t="inlineStr">
        <is>
          <t>ESSENTIEL</t>
        </is>
      </c>
      <c r="F572" s="6" t="inlineStr">
        <is>
          <t>LES DINATOIRES DU PÈRE ROUPSARD</t>
        </is>
      </c>
      <c r="G572" s="6" t="inlineStr">
        <is>
          <t>NORMAND DIRECT TERROIR</t>
        </is>
      </c>
      <c r="H572" s="6" t="inlineStr"/>
      <c r="I572" s="6" t="inlineStr">
        <is>
          <t>90 g</t>
        </is>
      </c>
      <c r="J572" s="6" t="inlineStr">
        <is>
          <t>NON</t>
        </is>
      </c>
      <c r="K572" s="7" t="inlineStr">
        <is>
          <t>5.5 %</t>
        </is>
      </c>
      <c r="L572" s="8" t="n">
        <v>3.16</v>
      </c>
      <c r="M572" s="9" t="n">
        <v>7</v>
      </c>
      <c r="N572" s="10" t="inlineStr">
        <is>
          <t>PROPOSÉ</t>
        </is>
      </c>
      <c r="O572" s="11">
        <f>IF(M572="","",M572-L572)</f>
        <v/>
      </c>
      <c r="P572" s="12">
        <f>IF(OR(M572="",M572=0),"",(M572-L572)/M572)</f>
        <v/>
      </c>
      <c r="Q572" s="13">
        <f>IF(OR(M572="",L572=0,L572=""),"",M572/L572)</f>
        <v/>
      </c>
      <c r="R572" s="11">
        <f>IF(M572="","",M572*1.055)</f>
        <v/>
      </c>
      <c r="S572" s="14" t="n"/>
      <c r="T572" s="15" t="n"/>
    </row>
    <row r="573">
      <c r="A573" s="16" t="inlineStr">
        <is>
          <t>PROD-0152</t>
        </is>
      </c>
      <c r="B573" s="16" t="inlineStr">
        <is>
          <t>Neufchâtel cramberries 90 grs</t>
        </is>
      </c>
      <c r="C573" s="16" t="inlineStr">
        <is>
          <t>TRAITEUR_CHARCUTERIE</t>
        </is>
      </c>
      <c r="D573" s="16" t="inlineStr">
        <is>
          <t>CHARCUTERIE_ET_TERRINE</t>
        </is>
      </c>
      <c r="E573" s="16" t="inlineStr">
        <is>
          <t>ESSENTIEL</t>
        </is>
      </c>
      <c r="F573" s="16" t="inlineStr">
        <is>
          <t>LES DINATOIRES DU PÈRE ROUPSARD</t>
        </is>
      </c>
      <c r="G573" s="16" t="inlineStr">
        <is>
          <t>NORMAND DIRECT TERROIR</t>
        </is>
      </c>
      <c r="H573" s="16" t="inlineStr"/>
      <c r="I573" s="16" t="inlineStr">
        <is>
          <t>90 g</t>
        </is>
      </c>
      <c r="J573" s="16" t="inlineStr">
        <is>
          <t>NON</t>
        </is>
      </c>
      <c r="K573" s="17" t="inlineStr">
        <is>
          <t>5.5 %</t>
        </is>
      </c>
      <c r="L573" s="18" t="n">
        <v>3.16</v>
      </c>
      <c r="M573" s="9" t="n">
        <v>7</v>
      </c>
      <c r="N573" s="10" t="inlineStr">
        <is>
          <t>PROPOSÉ</t>
        </is>
      </c>
      <c r="O573" s="11">
        <f>IF(M573="","",M573-L573)</f>
        <v/>
      </c>
      <c r="P573" s="12">
        <f>IF(OR(M573="",M573=0),"",(M573-L573)/M573)</f>
        <v/>
      </c>
      <c r="Q573" s="13">
        <f>IF(OR(M573="",L573=0,L573=""),"",M573/L573)</f>
        <v/>
      </c>
      <c r="R573" s="11">
        <f>IF(M573="","",M573*1.055)</f>
        <v/>
      </c>
      <c r="S573" s="14" t="n"/>
      <c r="T573" s="15" t="n"/>
    </row>
    <row r="574">
      <c r="A574" s="6" t="inlineStr">
        <is>
          <t>PROD-0092</t>
        </is>
      </c>
      <c r="B574" s="6" t="inlineStr">
        <is>
          <t>Rillettes de canard au foie gras 90 grs</t>
        </is>
      </c>
      <c r="C574" s="6" t="inlineStr">
        <is>
          <t>TRAITEUR_CHARCUTERIE</t>
        </is>
      </c>
      <c r="D574" s="6" t="inlineStr">
        <is>
          <t>FOIE_GRAS</t>
        </is>
      </c>
      <c r="E574" s="6" t="inlineStr">
        <is>
          <t>ESSENTIEL</t>
        </is>
      </c>
      <c r="F574" s="6" t="inlineStr">
        <is>
          <t>PÈRE ROUPSARD</t>
        </is>
      </c>
      <c r="G574" s="6" t="inlineStr">
        <is>
          <t>NORMAND DIRECT TERROIR</t>
        </is>
      </c>
      <c r="H574" s="6" t="inlineStr">
        <is>
          <t>TRAITEUR 90 Gr</t>
        </is>
      </c>
      <c r="I574" s="6" t="inlineStr">
        <is>
          <t>90 g</t>
        </is>
      </c>
      <c r="J574" s="6" t="inlineStr">
        <is>
          <t>NON</t>
        </is>
      </c>
      <c r="K574" s="7" t="inlineStr">
        <is>
          <t>5.5 %</t>
        </is>
      </c>
      <c r="L574" s="8" t="n">
        <v>2.88</v>
      </c>
      <c r="M574" s="9" t="n">
        <v>7</v>
      </c>
      <c r="N574" s="10" t="inlineStr">
        <is>
          <t>PROPOSÉ</t>
        </is>
      </c>
      <c r="O574" s="11">
        <f>IF(M574="","",M574-L574)</f>
        <v/>
      </c>
      <c r="P574" s="12">
        <f>IF(OR(M574="",M574=0),"",(M574-L574)/M574)</f>
        <v/>
      </c>
      <c r="Q574" s="13">
        <f>IF(OR(M574="",L574=0,L574=""),"",M574/L574)</f>
        <v/>
      </c>
      <c r="R574" s="11">
        <f>IF(M574="","",M574*1.055)</f>
        <v/>
      </c>
      <c r="S574" s="14" t="n"/>
      <c r="T574" s="15" t="n"/>
    </row>
    <row r="575">
      <c r="A575" s="16" t="inlineStr">
        <is>
          <t>PROD-0075</t>
        </is>
      </c>
      <c r="B575" s="16" t="inlineStr">
        <is>
          <t>Terrine de faisan au Calvados 90 grs</t>
        </is>
      </c>
      <c r="C575" s="16" t="inlineStr">
        <is>
          <t>TRAITEUR_CHARCUTERIE</t>
        </is>
      </c>
      <c r="D575" s="16" t="inlineStr">
        <is>
          <t>CHARCUTERIE_ET_TERRINE</t>
        </is>
      </c>
      <c r="E575" s="16" t="inlineStr">
        <is>
          <t>ESSENTIEL</t>
        </is>
      </c>
      <c r="F575" s="16" t="inlineStr">
        <is>
          <t>PÈRE ROUPSARD</t>
        </is>
      </c>
      <c r="G575" s="16" t="inlineStr">
        <is>
          <t>NORMAND DIRECT TERROIR</t>
        </is>
      </c>
      <c r="H575" s="16" t="inlineStr">
        <is>
          <t>TRAITEUR 90 Gr</t>
        </is>
      </c>
      <c r="I575" s="16" t="inlineStr">
        <is>
          <t>90 g</t>
        </is>
      </c>
      <c r="J575" s="16" t="inlineStr">
        <is>
          <t>INGREDIENT_ALCOOLISE</t>
        </is>
      </c>
      <c r="K575" s="17" t="inlineStr">
        <is>
          <t>5.5 %</t>
        </is>
      </c>
      <c r="L575" s="18" t="n">
        <v>2.6</v>
      </c>
      <c r="M575" s="9" t="n">
        <v>6.3</v>
      </c>
      <c r="N575" s="10" t="inlineStr">
        <is>
          <t>PROPOSÉ</t>
        </is>
      </c>
      <c r="O575" s="11">
        <f>IF(M575="","",M575-L575)</f>
        <v/>
      </c>
      <c r="P575" s="12">
        <f>IF(OR(M575="",M575=0),"",(M575-L575)/M575)</f>
        <v/>
      </c>
      <c r="Q575" s="13">
        <f>IF(OR(M575="",L575=0,L575=""),"",M575/L575)</f>
        <v/>
      </c>
      <c r="R575" s="11">
        <f>IF(M575="","",M575*1.055)</f>
        <v/>
      </c>
      <c r="S575" s="14" t="n"/>
      <c r="T575" s="15" t="n"/>
    </row>
    <row r="576">
      <c r="A576" s="6" t="inlineStr">
        <is>
          <t>PROD-0076</t>
        </is>
      </c>
      <c r="B576" s="6" t="inlineStr">
        <is>
          <t>Terrine de lièvre au Calvados 90 grs</t>
        </is>
      </c>
      <c r="C576" s="6" t="inlineStr">
        <is>
          <t>TRAITEUR_CHARCUTERIE</t>
        </is>
      </c>
      <c r="D576" s="6" t="inlineStr">
        <is>
          <t>CHARCUTERIE_ET_TERRINE</t>
        </is>
      </c>
      <c r="E576" s="6" t="inlineStr">
        <is>
          <t>ESSENTIEL</t>
        </is>
      </c>
      <c r="F576" s="6" t="inlineStr">
        <is>
          <t>PÈRE ROUPSARD</t>
        </is>
      </c>
      <c r="G576" s="6" t="inlineStr">
        <is>
          <t>NORMAND DIRECT TERROIR</t>
        </is>
      </c>
      <c r="H576" s="6" t="inlineStr">
        <is>
          <t>TRAITEUR 90 Gr</t>
        </is>
      </c>
      <c r="I576" s="6" t="inlineStr">
        <is>
          <t>90 g</t>
        </is>
      </c>
      <c r="J576" s="6" t="inlineStr">
        <is>
          <t>INGREDIENT_ALCOOLISE</t>
        </is>
      </c>
      <c r="K576" s="7" t="inlineStr">
        <is>
          <t>5.5 %</t>
        </is>
      </c>
      <c r="L576" s="8" t="n">
        <v>2.6</v>
      </c>
      <c r="M576" s="9" t="n">
        <v>6.3</v>
      </c>
      <c r="N576" s="10" t="inlineStr">
        <is>
          <t>PROPOSÉ</t>
        </is>
      </c>
      <c r="O576" s="11">
        <f>IF(M576="","",M576-L576)</f>
        <v/>
      </c>
      <c r="P576" s="12">
        <f>IF(OR(M576="",M576=0),"",(M576-L576)/M576)</f>
        <v/>
      </c>
      <c r="Q576" s="13">
        <f>IF(OR(M576="",L576=0,L576=""),"",M576/L576)</f>
        <v/>
      </c>
      <c r="R576" s="11">
        <f>IF(M576="","",M576*1.055)</f>
        <v/>
      </c>
      <c r="S576" s="14" t="n"/>
      <c r="T576" s="15" t="n"/>
    </row>
    <row r="577">
      <c r="A577" s="16" t="inlineStr">
        <is>
          <t>PROD-0077</t>
        </is>
      </c>
      <c r="B577" s="16" t="inlineStr">
        <is>
          <t>Terrine pomme porc andouille 90 grs</t>
        </is>
      </c>
      <c r="C577" s="16" t="inlineStr">
        <is>
          <t>TRAITEUR_CHARCUTERIE</t>
        </is>
      </c>
      <c r="D577" s="16" t="inlineStr">
        <is>
          <t>CHARCUTERIE_ET_TERRINE</t>
        </is>
      </c>
      <c r="E577" s="16" t="inlineStr">
        <is>
          <t>ESSENTIEL</t>
        </is>
      </c>
      <c r="F577" s="16" t="inlineStr">
        <is>
          <t>PÈRE ROUPSARD</t>
        </is>
      </c>
      <c r="G577" s="16" t="inlineStr">
        <is>
          <t>NORMAND DIRECT TERROIR</t>
        </is>
      </c>
      <c r="H577" s="16" t="inlineStr">
        <is>
          <t>TRAITEUR 90 Gr</t>
        </is>
      </c>
      <c r="I577" s="16" t="inlineStr">
        <is>
          <t>90 g</t>
        </is>
      </c>
      <c r="J577" s="16" t="inlineStr">
        <is>
          <t>NON</t>
        </is>
      </c>
      <c r="K577" s="17" t="inlineStr">
        <is>
          <t>5.5 %</t>
        </is>
      </c>
      <c r="L577" s="18" t="n">
        <v>2.6</v>
      </c>
      <c r="M577" s="9" t="n">
        <v>6.3</v>
      </c>
      <c r="N577" s="10" t="inlineStr">
        <is>
          <t>PROPOSÉ</t>
        </is>
      </c>
      <c r="O577" s="11">
        <f>IF(M577="","",M577-L577)</f>
        <v/>
      </c>
      <c r="P577" s="12">
        <f>IF(OR(M577="",M577=0),"",(M577-L577)/M577)</f>
        <v/>
      </c>
      <c r="Q577" s="13">
        <f>IF(OR(M577="",L577=0,L577=""),"",M577/L577)</f>
        <v/>
      </c>
      <c r="R577" s="11">
        <f>IF(M577="","",M577*1.055)</f>
        <v/>
      </c>
      <c r="S577" s="14" t="n"/>
      <c r="T577" s="15" t="n"/>
    </row>
    <row r="578">
      <c r="A578" s="6" t="inlineStr">
        <is>
          <t>PROD-0078</t>
        </is>
      </c>
      <c r="B578" s="6" t="inlineStr">
        <is>
          <t>Terrine de lapin au pommeau 90 grs</t>
        </is>
      </c>
      <c r="C578" s="6" t="inlineStr">
        <is>
          <t>TRAITEUR_CHARCUTERIE</t>
        </is>
      </c>
      <c r="D578" s="6" t="inlineStr">
        <is>
          <t>CHARCUTERIE_ET_TERRINE</t>
        </is>
      </c>
      <c r="E578" s="6" t="inlineStr">
        <is>
          <t>ESSENTIEL</t>
        </is>
      </c>
      <c r="F578" s="6" t="inlineStr">
        <is>
          <t>PÈRE ROUPSARD</t>
        </is>
      </c>
      <c r="G578" s="6" t="inlineStr">
        <is>
          <t>NORMAND DIRECT TERROIR</t>
        </is>
      </c>
      <c r="H578" s="6" t="inlineStr">
        <is>
          <t>TRAITEUR 90 Gr</t>
        </is>
      </c>
      <c r="I578" s="6" t="inlineStr">
        <is>
          <t>90 g</t>
        </is>
      </c>
      <c r="J578" s="6" t="inlineStr">
        <is>
          <t>INGREDIENT_ALCOOLISE</t>
        </is>
      </c>
      <c r="K578" s="7" t="inlineStr">
        <is>
          <t>5.5 %</t>
        </is>
      </c>
      <c r="L578" s="8" t="n">
        <v>2.6</v>
      </c>
      <c r="M578" s="9" t="n">
        <v>6.3</v>
      </c>
      <c r="N578" s="10" t="inlineStr">
        <is>
          <t>PROPOSÉ</t>
        </is>
      </c>
      <c r="O578" s="11">
        <f>IF(M578="","",M578-L578)</f>
        <v/>
      </c>
      <c r="P578" s="12">
        <f>IF(OR(M578="",M578=0),"",(M578-L578)/M578)</f>
        <v/>
      </c>
      <c r="Q578" s="13">
        <f>IF(OR(M578="",L578=0,L578=""),"",M578/L578)</f>
        <v/>
      </c>
      <c r="R578" s="11">
        <f>IF(M578="","",M578*1.055)</f>
        <v/>
      </c>
      <c r="S578" s="14" t="n"/>
      <c r="T578" s="15" t="n"/>
    </row>
    <row r="579">
      <c r="A579" s="16" t="inlineStr">
        <is>
          <t>PROD-0079</t>
        </is>
      </c>
      <c r="B579" s="16" t="inlineStr">
        <is>
          <t>Terrine de canard aux pommes 90 grs</t>
        </is>
      </c>
      <c r="C579" s="16" t="inlineStr">
        <is>
          <t>TRAITEUR_CHARCUTERIE</t>
        </is>
      </c>
      <c r="D579" s="16" t="inlineStr">
        <is>
          <t>CHARCUTERIE_ET_TERRINE</t>
        </is>
      </c>
      <c r="E579" s="16" t="inlineStr">
        <is>
          <t>ESSENTIEL</t>
        </is>
      </c>
      <c r="F579" s="16" t="inlineStr">
        <is>
          <t>PÈRE ROUPSARD</t>
        </is>
      </c>
      <c r="G579" s="16" t="inlineStr">
        <is>
          <t>NORMAND DIRECT TERROIR</t>
        </is>
      </c>
      <c r="H579" s="16" t="inlineStr">
        <is>
          <t>TRAITEUR 90 Gr</t>
        </is>
      </c>
      <c r="I579" s="16" t="inlineStr">
        <is>
          <t>90 g</t>
        </is>
      </c>
      <c r="J579" s="16" t="inlineStr">
        <is>
          <t>NON</t>
        </is>
      </c>
      <c r="K579" s="17" t="inlineStr">
        <is>
          <t>5.5 %</t>
        </is>
      </c>
      <c r="L579" s="18" t="n">
        <v>2.6</v>
      </c>
      <c r="M579" s="9" t="n">
        <v>6.3</v>
      </c>
      <c r="N579" s="10" t="inlineStr">
        <is>
          <t>PROPOSÉ</t>
        </is>
      </c>
      <c r="O579" s="11">
        <f>IF(M579="","",M579-L579)</f>
        <v/>
      </c>
      <c r="P579" s="12">
        <f>IF(OR(M579="",M579=0),"",(M579-L579)/M579)</f>
        <v/>
      </c>
      <c r="Q579" s="13">
        <f>IF(OR(M579="",L579=0,L579=""),"",M579/L579)</f>
        <v/>
      </c>
      <c r="R579" s="11">
        <f>IF(M579="","",M579*1.055)</f>
        <v/>
      </c>
      <c r="S579" s="14" t="n"/>
      <c r="T579" s="15" t="n"/>
    </row>
    <row r="580">
      <c r="A580" s="6" t="inlineStr">
        <is>
          <t>PROD-0080</t>
        </is>
      </c>
      <c r="B580" s="6" t="inlineStr">
        <is>
          <t>Terrine de campagne 90 grs</t>
        </is>
      </c>
      <c r="C580" s="6" t="inlineStr">
        <is>
          <t>TRAITEUR_CHARCUTERIE</t>
        </is>
      </c>
      <c r="D580" s="6" t="inlineStr">
        <is>
          <t>CHARCUTERIE_ET_TERRINE</t>
        </is>
      </c>
      <c r="E580" s="6" t="inlineStr">
        <is>
          <t>ESSENTIEL</t>
        </is>
      </c>
      <c r="F580" s="6" t="inlineStr">
        <is>
          <t>PÈRE ROUPSARD</t>
        </is>
      </c>
      <c r="G580" s="6" t="inlineStr">
        <is>
          <t>NORMAND DIRECT TERROIR</t>
        </is>
      </c>
      <c r="H580" s="6" t="inlineStr">
        <is>
          <t>TRAITEUR 90 Gr</t>
        </is>
      </c>
      <c r="I580" s="6" t="inlineStr">
        <is>
          <t>90 g</t>
        </is>
      </c>
      <c r="J580" s="6" t="inlineStr">
        <is>
          <t>NON</t>
        </is>
      </c>
      <c r="K580" s="7" t="inlineStr">
        <is>
          <t>5.5 %</t>
        </is>
      </c>
      <c r="L580" s="8" t="n">
        <v>2.6</v>
      </c>
      <c r="M580" s="9" t="n">
        <v>6.3</v>
      </c>
      <c r="N580" s="10" t="inlineStr">
        <is>
          <t>PROPOSÉ</t>
        </is>
      </c>
      <c r="O580" s="11">
        <f>IF(M580="","",M580-L580)</f>
        <v/>
      </c>
      <c r="P580" s="12">
        <f>IF(OR(M580="",M580=0),"",(M580-L580)/M580)</f>
        <v/>
      </c>
      <c r="Q580" s="13">
        <f>IF(OR(M580="",L580=0,L580=""),"",M580/L580)</f>
        <v/>
      </c>
      <c r="R580" s="11">
        <f>IF(M580="","",M580*1.055)</f>
        <v/>
      </c>
      <c r="S580" s="14" t="n"/>
      <c r="T580" s="15" t="n"/>
    </row>
    <row r="581">
      <c r="A581" s="16" t="inlineStr">
        <is>
          <t>PROD-0081</t>
        </is>
      </c>
      <c r="B581" s="16" t="inlineStr">
        <is>
          <t>Terrine de campagne au cidre 90 grs</t>
        </is>
      </c>
      <c r="C581" s="16" t="inlineStr">
        <is>
          <t>TRAITEUR_CHARCUTERIE</t>
        </is>
      </c>
      <c r="D581" s="16" t="inlineStr">
        <is>
          <t>CHARCUTERIE_ET_TERRINE</t>
        </is>
      </c>
      <c r="E581" s="16" t="inlineStr">
        <is>
          <t>ESSENTIEL</t>
        </is>
      </c>
      <c r="F581" s="16" t="inlineStr">
        <is>
          <t>PÈRE ROUPSARD</t>
        </is>
      </c>
      <c r="G581" s="16" t="inlineStr">
        <is>
          <t>NORMAND DIRECT TERROIR</t>
        </is>
      </c>
      <c r="H581" s="16" t="inlineStr">
        <is>
          <t>TRAITEUR 90 Gr</t>
        </is>
      </c>
      <c r="I581" s="16" t="inlineStr">
        <is>
          <t>90 g</t>
        </is>
      </c>
      <c r="J581" s="16" t="inlineStr">
        <is>
          <t>INGREDIENT_ALCOOLISE</t>
        </is>
      </c>
      <c r="K581" s="17" t="inlineStr">
        <is>
          <t>5.5 %</t>
        </is>
      </c>
      <c r="L581" s="18" t="n">
        <v>2.6</v>
      </c>
      <c r="M581" s="9" t="n">
        <v>6.3</v>
      </c>
      <c r="N581" s="10" t="inlineStr">
        <is>
          <t>PROPOSÉ</t>
        </is>
      </c>
      <c r="O581" s="11">
        <f>IF(M581="","",M581-L581)</f>
        <v/>
      </c>
      <c r="P581" s="12">
        <f>IF(OR(M581="",M581=0),"",(M581-L581)/M581)</f>
        <v/>
      </c>
      <c r="Q581" s="13">
        <f>IF(OR(M581="",L581=0,L581=""),"",M581/L581)</f>
        <v/>
      </c>
      <c r="R581" s="11">
        <f>IF(M581="","",M581*1.055)</f>
        <v/>
      </c>
      <c r="S581" s="14" t="n"/>
      <c r="T581" s="15" t="n"/>
    </row>
    <row r="582">
      <c r="A582" s="6" t="inlineStr">
        <is>
          <t>PROD-0082</t>
        </is>
      </c>
      <c r="B582" s="6" t="inlineStr">
        <is>
          <t>Terrine porc Livarot 90 grs</t>
        </is>
      </c>
      <c r="C582" s="6" t="inlineStr">
        <is>
          <t>TRAITEUR_CHARCUTERIE</t>
        </is>
      </c>
      <c r="D582" s="6" t="inlineStr">
        <is>
          <t>CHARCUTERIE_ET_TERRINE</t>
        </is>
      </c>
      <c r="E582" s="6" t="inlineStr">
        <is>
          <t>ESSENTIEL</t>
        </is>
      </c>
      <c r="F582" s="6" t="inlineStr">
        <is>
          <t>PÈRE ROUPSARD</t>
        </is>
      </c>
      <c r="G582" s="6" t="inlineStr">
        <is>
          <t>NORMAND DIRECT TERROIR</t>
        </is>
      </c>
      <c r="H582" s="6" t="inlineStr">
        <is>
          <t>TRAITEUR 90 Gr</t>
        </is>
      </c>
      <c r="I582" s="6" t="inlineStr">
        <is>
          <t>90 g</t>
        </is>
      </c>
      <c r="J582" s="6" t="inlineStr">
        <is>
          <t>NON</t>
        </is>
      </c>
      <c r="K582" s="7" t="inlineStr">
        <is>
          <t>5.5 %</t>
        </is>
      </c>
      <c r="L582" s="8" t="n">
        <v>2.6</v>
      </c>
      <c r="M582" s="9" t="n">
        <v>6.3</v>
      </c>
      <c r="N582" s="10" t="inlineStr">
        <is>
          <t>PROPOSÉ</t>
        </is>
      </c>
      <c r="O582" s="11">
        <f>IF(M582="","",M582-L582)</f>
        <v/>
      </c>
      <c r="P582" s="12">
        <f>IF(OR(M582="",M582=0),"",(M582-L582)/M582)</f>
        <v/>
      </c>
      <c r="Q582" s="13">
        <f>IF(OR(M582="",L582=0,L582=""),"",M582/L582)</f>
        <v/>
      </c>
      <c r="R582" s="11">
        <f>IF(M582="","",M582*1.055)</f>
        <v/>
      </c>
      <c r="S582" s="14" t="n"/>
      <c r="T582" s="15" t="n"/>
    </row>
    <row r="583">
      <c r="A583" s="16" t="inlineStr">
        <is>
          <t>PROD-0083</t>
        </is>
      </c>
      <c r="B583" s="16" t="inlineStr">
        <is>
          <t>Terrine porc camembert 90 grs</t>
        </is>
      </c>
      <c r="C583" s="16" t="inlineStr">
        <is>
          <t>TRAITEUR_CHARCUTERIE</t>
        </is>
      </c>
      <c r="D583" s="16" t="inlineStr">
        <is>
          <t>CHARCUTERIE_ET_TERRINE</t>
        </is>
      </c>
      <c r="E583" s="16" t="inlineStr">
        <is>
          <t>ESSENTIEL</t>
        </is>
      </c>
      <c r="F583" s="16" t="inlineStr">
        <is>
          <t>PÈRE ROUPSARD</t>
        </is>
      </c>
      <c r="G583" s="16" t="inlineStr">
        <is>
          <t>NORMAND DIRECT TERROIR</t>
        </is>
      </c>
      <c r="H583" s="16" t="inlineStr">
        <is>
          <t>TRAITEUR 90 Gr</t>
        </is>
      </c>
      <c r="I583" s="16" t="inlineStr">
        <is>
          <t>90 g</t>
        </is>
      </c>
      <c r="J583" s="16" t="inlineStr">
        <is>
          <t>NON</t>
        </is>
      </c>
      <c r="K583" s="17" t="inlineStr">
        <is>
          <t>5.5 %</t>
        </is>
      </c>
      <c r="L583" s="18" t="n">
        <v>2.6</v>
      </c>
      <c r="M583" s="9" t="n">
        <v>6.3</v>
      </c>
      <c r="N583" s="10" t="inlineStr">
        <is>
          <t>PROPOSÉ</t>
        </is>
      </c>
      <c r="O583" s="11">
        <f>IF(M583="","",M583-L583)</f>
        <v/>
      </c>
      <c r="P583" s="12">
        <f>IF(OR(M583="",M583=0),"",(M583-L583)/M583)</f>
        <v/>
      </c>
      <c r="Q583" s="13">
        <f>IF(OR(M583="",L583=0,L583=""),"",M583/L583)</f>
        <v/>
      </c>
      <c r="R583" s="11">
        <f>IF(M583="","",M583*1.055)</f>
        <v/>
      </c>
      <c r="S583" s="14" t="n"/>
      <c r="T583" s="15" t="n"/>
    </row>
    <row r="584">
      <c r="A584" s="6" t="inlineStr">
        <is>
          <t>PROD-0084</t>
        </is>
      </c>
      <c r="B584" s="6" t="inlineStr">
        <is>
          <t>Rillettes de porc à l'anciènne 90 grs</t>
        </is>
      </c>
      <c r="C584" s="6" t="inlineStr">
        <is>
          <t>TRAITEUR_CHARCUTERIE</t>
        </is>
      </c>
      <c r="D584" s="6" t="inlineStr">
        <is>
          <t>CHARCUTERIE_ET_TERRINE</t>
        </is>
      </c>
      <c r="E584" s="6" t="inlineStr">
        <is>
          <t>ESSENTIEL</t>
        </is>
      </c>
      <c r="F584" s="6" t="inlineStr">
        <is>
          <t>PÈRE ROUPSARD</t>
        </is>
      </c>
      <c r="G584" s="6" t="inlineStr">
        <is>
          <t>NORMAND DIRECT TERROIR</t>
        </is>
      </c>
      <c r="H584" s="6" t="inlineStr">
        <is>
          <t>TRAITEUR 90 Gr</t>
        </is>
      </c>
      <c r="I584" s="6" t="inlineStr">
        <is>
          <t>90 g</t>
        </is>
      </c>
      <c r="J584" s="6" t="inlineStr">
        <is>
          <t>NON</t>
        </is>
      </c>
      <c r="K584" s="7" t="inlineStr">
        <is>
          <t>5.5 %</t>
        </is>
      </c>
      <c r="L584" s="8" t="n">
        <v>2.6</v>
      </c>
      <c r="M584" s="9" t="n">
        <v>6.3</v>
      </c>
      <c r="N584" s="10" t="inlineStr">
        <is>
          <t>PROPOSÉ</t>
        </is>
      </c>
      <c r="O584" s="11">
        <f>IF(M584="","",M584-L584)</f>
        <v/>
      </c>
      <c r="P584" s="12">
        <f>IF(OR(M584="",M584=0),"",(M584-L584)/M584)</f>
        <v/>
      </c>
      <c r="Q584" s="13">
        <f>IF(OR(M584="",L584=0,L584=""),"",M584/L584)</f>
        <v/>
      </c>
      <c r="R584" s="11">
        <f>IF(M584="","",M584*1.055)</f>
        <v/>
      </c>
      <c r="S584" s="14" t="n"/>
      <c r="T584" s="15" t="n"/>
    </row>
    <row r="585">
      <c r="A585" s="16" t="inlineStr">
        <is>
          <t>PROD-0085</t>
        </is>
      </c>
      <c r="B585" s="16" t="inlineStr">
        <is>
          <t>Rillettes de porc fumé 90 grs</t>
        </is>
      </c>
      <c r="C585" s="16" t="inlineStr">
        <is>
          <t>TRAITEUR_CHARCUTERIE</t>
        </is>
      </c>
      <c r="D585" s="16" t="inlineStr">
        <is>
          <t>CHARCUTERIE_ET_TERRINE</t>
        </is>
      </c>
      <c r="E585" s="16" t="inlineStr">
        <is>
          <t>ESSENTIEL</t>
        </is>
      </c>
      <c r="F585" s="16" t="inlineStr">
        <is>
          <t>PÈRE ROUPSARD</t>
        </is>
      </c>
      <c r="G585" s="16" t="inlineStr">
        <is>
          <t>NORMAND DIRECT TERROIR</t>
        </is>
      </c>
      <c r="H585" s="16" t="inlineStr">
        <is>
          <t>TRAITEUR 90 Gr</t>
        </is>
      </c>
      <c r="I585" s="16" t="inlineStr">
        <is>
          <t>90 g</t>
        </is>
      </c>
      <c r="J585" s="16" t="inlineStr">
        <is>
          <t>NON</t>
        </is>
      </c>
      <c r="K585" s="17" t="inlineStr">
        <is>
          <t>5.5 %</t>
        </is>
      </c>
      <c r="L585" s="18" t="n">
        <v>2.6</v>
      </c>
      <c r="M585" s="9" t="n">
        <v>6.3</v>
      </c>
      <c r="N585" s="10" t="inlineStr">
        <is>
          <t>PROPOSÉ</t>
        </is>
      </c>
      <c r="O585" s="11">
        <f>IF(M585="","",M585-L585)</f>
        <v/>
      </c>
      <c r="P585" s="12">
        <f>IF(OR(M585="",M585=0),"",(M585-L585)/M585)</f>
        <v/>
      </c>
      <c r="Q585" s="13">
        <f>IF(OR(M585="",L585=0,L585=""),"",M585/L585)</f>
        <v/>
      </c>
      <c r="R585" s="11">
        <f>IF(M585="","",M585*1.055)</f>
        <v/>
      </c>
      <c r="S585" s="14" t="n"/>
      <c r="T585" s="15" t="n"/>
    </row>
    <row r="586">
      <c r="A586" s="6" t="inlineStr">
        <is>
          <t>PROD-0086</t>
        </is>
      </c>
      <c r="B586" s="6" t="inlineStr">
        <is>
          <t>Terrine campagne pomme foie gras 90 grs</t>
        </is>
      </c>
      <c r="C586" s="6" t="inlineStr">
        <is>
          <t>TRAITEUR_CHARCUTERIE</t>
        </is>
      </c>
      <c r="D586" s="6" t="inlineStr">
        <is>
          <t>FOIE_GRAS</t>
        </is>
      </c>
      <c r="E586" s="6" t="inlineStr">
        <is>
          <t>ESSENTIEL</t>
        </is>
      </c>
      <c r="F586" s="6" t="inlineStr">
        <is>
          <t>PÈRE ROUPSARD</t>
        </is>
      </c>
      <c r="G586" s="6" t="inlineStr">
        <is>
          <t>NORMAND DIRECT TERROIR</t>
        </is>
      </c>
      <c r="H586" s="6" t="inlineStr">
        <is>
          <t>TRAITEUR 90 Gr</t>
        </is>
      </c>
      <c r="I586" s="6" t="inlineStr">
        <is>
          <t>90 g</t>
        </is>
      </c>
      <c r="J586" s="6" t="inlineStr">
        <is>
          <t>NON</t>
        </is>
      </c>
      <c r="K586" s="7" t="inlineStr">
        <is>
          <t>5.5 %</t>
        </is>
      </c>
      <c r="L586" s="8" t="n">
        <v>2.6</v>
      </c>
      <c r="M586" s="9" t="n">
        <v>6.3</v>
      </c>
      <c r="N586" s="10" t="inlineStr">
        <is>
          <t>PROPOSÉ</t>
        </is>
      </c>
      <c r="O586" s="11">
        <f>IF(M586="","",M586-L586)</f>
        <v/>
      </c>
      <c r="P586" s="12">
        <f>IF(OR(M586="",M586=0),"",(M586-L586)/M586)</f>
        <v/>
      </c>
      <c r="Q586" s="13">
        <f>IF(OR(M586="",L586=0,L586=""),"",M586/L586)</f>
        <v/>
      </c>
      <c r="R586" s="11">
        <f>IF(M586="","",M586*1.055)</f>
        <v/>
      </c>
      <c r="S586" s="14" t="n"/>
      <c r="T586" s="15" t="n"/>
    </row>
    <row r="587">
      <c r="A587" s="16" t="inlineStr">
        <is>
          <t>PROD-0087</t>
        </is>
      </c>
      <c r="B587" s="16" t="inlineStr">
        <is>
          <t>Pâté de foie aux pommes calva 90 grs</t>
        </is>
      </c>
      <c r="C587" s="16" t="inlineStr">
        <is>
          <t>TRAITEUR_CHARCUTERIE</t>
        </is>
      </c>
      <c r="D587" s="16" t="inlineStr">
        <is>
          <t>CHARCUTERIE_ET_TERRINE</t>
        </is>
      </c>
      <c r="E587" s="16" t="inlineStr">
        <is>
          <t>ESSENTIEL</t>
        </is>
      </c>
      <c r="F587" s="16" t="inlineStr">
        <is>
          <t>PÈRE ROUPSARD</t>
        </is>
      </c>
      <c r="G587" s="16" t="inlineStr">
        <is>
          <t>NORMAND DIRECT TERROIR</t>
        </is>
      </c>
      <c r="H587" s="16" t="inlineStr">
        <is>
          <t>TRAITEUR 90 Gr</t>
        </is>
      </c>
      <c r="I587" s="16" t="inlineStr">
        <is>
          <t>90 g</t>
        </is>
      </c>
      <c r="J587" s="16" t="inlineStr">
        <is>
          <t>NON</t>
        </is>
      </c>
      <c r="K587" s="17" t="inlineStr">
        <is>
          <t>5.5 %</t>
        </is>
      </c>
      <c r="L587" s="18" t="n">
        <v>2.6</v>
      </c>
      <c r="M587" s="9" t="n">
        <v>6.3</v>
      </c>
      <c r="N587" s="10" t="inlineStr">
        <is>
          <t>PROPOSÉ</t>
        </is>
      </c>
      <c r="O587" s="11">
        <f>IF(M587="","",M587-L587)</f>
        <v/>
      </c>
      <c r="P587" s="12">
        <f>IF(OR(M587="",M587=0),"",(M587-L587)/M587)</f>
        <v/>
      </c>
      <c r="Q587" s="13">
        <f>IF(OR(M587="",L587=0,L587=""),"",M587/L587)</f>
        <v/>
      </c>
      <c r="R587" s="11">
        <f>IF(M587="","",M587*1.055)</f>
        <v/>
      </c>
      <c r="S587" s="14" t="n"/>
      <c r="T587" s="15" t="n"/>
    </row>
    <row r="588">
      <c r="A588" s="6" t="inlineStr">
        <is>
          <t>PROD-0088</t>
        </is>
      </c>
      <c r="B588" s="6" t="inlineStr">
        <is>
          <t>Rillettes du Cotentin 90 grs</t>
        </is>
      </c>
      <c r="C588" s="6" t="inlineStr">
        <is>
          <t>TRAITEUR_CHARCUTERIE</t>
        </is>
      </c>
      <c r="D588" s="6" t="inlineStr">
        <is>
          <t>CHARCUTERIE_ET_TERRINE</t>
        </is>
      </c>
      <c r="E588" s="6" t="inlineStr">
        <is>
          <t>ESSENTIEL</t>
        </is>
      </c>
      <c r="F588" s="6" t="inlineStr">
        <is>
          <t>PÈRE ROUPSARD</t>
        </is>
      </c>
      <c r="G588" s="6" t="inlineStr">
        <is>
          <t>NORMAND DIRECT TERROIR</t>
        </is>
      </c>
      <c r="H588" s="6" t="inlineStr">
        <is>
          <t>TRAITEUR 90 Gr</t>
        </is>
      </c>
      <c r="I588" s="6" t="inlineStr">
        <is>
          <t>90 g</t>
        </is>
      </c>
      <c r="J588" s="6" t="inlineStr">
        <is>
          <t>NON</t>
        </is>
      </c>
      <c r="K588" s="7" t="inlineStr">
        <is>
          <t>5.5 %</t>
        </is>
      </c>
      <c r="L588" s="8" t="n">
        <v>2.6</v>
      </c>
      <c r="M588" s="9" t="n">
        <v>6.3</v>
      </c>
      <c r="N588" s="10" t="inlineStr">
        <is>
          <t>PROPOSÉ</t>
        </is>
      </c>
      <c r="O588" s="11">
        <f>IF(M588="","",M588-L588)</f>
        <v/>
      </c>
      <c r="P588" s="12">
        <f>IF(OR(M588="",M588=0),"",(M588-L588)/M588)</f>
        <v/>
      </c>
      <c r="Q588" s="13">
        <f>IF(OR(M588="",L588=0,L588=""),"",M588/L588)</f>
        <v/>
      </c>
      <c r="R588" s="11">
        <f>IF(M588="","",M588*1.055)</f>
        <v/>
      </c>
      <c r="S588" s="14" t="n"/>
      <c r="T588" s="15" t="n"/>
    </row>
    <row r="589">
      <c r="A589" s="16" t="inlineStr">
        <is>
          <t>PROD-0089</t>
        </is>
      </c>
      <c r="B589" s="16" t="inlineStr">
        <is>
          <t>Rillettes de poulet au poivre vert 90 grs</t>
        </is>
      </c>
      <c r="C589" s="16" t="inlineStr">
        <is>
          <t>TRAITEUR_CHARCUTERIE</t>
        </is>
      </c>
      <c r="D589" s="16" t="inlineStr">
        <is>
          <t>CHARCUTERIE_ET_TERRINE</t>
        </is>
      </c>
      <c r="E589" s="16" t="inlineStr">
        <is>
          <t>ESSENTIEL</t>
        </is>
      </c>
      <c r="F589" s="16" t="inlineStr">
        <is>
          <t>PÈRE ROUPSARD</t>
        </is>
      </c>
      <c r="G589" s="16" t="inlineStr">
        <is>
          <t>NORMAND DIRECT TERROIR</t>
        </is>
      </c>
      <c r="H589" s="16" t="inlineStr">
        <is>
          <t>TRAITEUR 90 Gr</t>
        </is>
      </c>
      <c r="I589" s="16" t="inlineStr">
        <is>
          <t>90 g</t>
        </is>
      </c>
      <c r="J589" s="16" t="inlineStr">
        <is>
          <t>NON</t>
        </is>
      </c>
      <c r="K589" s="17" t="inlineStr">
        <is>
          <t>5.5 %</t>
        </is>
      </c>
      <c r="L589" s="18" t="n">
        <v>2.6</v>
      </c>
      <c r="M589" s="9" t="n">
        <v>6.3</v>
      </c>
      <c r="N589" s="10" t="inlineStr">
        <is>
          <t>PROPOSÉ</t>
        </is>
      </c>
      <c r="O589" s="11">
        <f>IF(M589="","",M589-L589)</f>
        <v/>
      </c>
      <c r="P589" s="12">
        <f>IF(OR(M589="",M589=0),"",(M589-L589)/M589)</f>
        <v/>
      </c>
      <c r="Q589" s="13">
        <f>IF(OR(M589="",L589=0,L589=""),"",M589/L589)</f>
        <v/>
      </c>
      <c r="R589" s="11">
        <f>IF(M589="","",M589*1.055)</f>
        <v/>
      </c>
      <c r="S589" s="14" t="n"/>
      <c r="T589" s="15" t="n"/>
    </row>
    <row r="590">
      <c r="A590" s="6" t="inlineStr">
        <is>
          <t>PROD-0090</t>
        </is>
      </c>
      <c r="B590" s="6" t="inlineStr">
        <is>
          <t>Rillettes de poulet citron confit 90 grs</t>
        </is>
      </c>
      <c r="C590" s="6" t="inlineStr">
        <is>
          <t>TRAITEUR_CHARCUTERIE</t>
        </is>
      </c>
      <c r="D590" s="6" t="inlineStr">
        <is>
          <t>CHARCUTERIE_ET_TERRINE</t>
        </is>
      </c>
      <c r="E590" s="6" t="inlineStr">
        <is>
          <t>ESSENTIEL</t>
        </is>
      </c>
      <c r="F590" s="6" t="inlineStr">
        <is>
          <t>PÈRE ROUPSARD</t>
        </is>
      </c>
      <c r="G590" s="6" t="inlineStr">
        <is>
          <t>NORMAND DIRECT TERROIR</t>
        </is>
      </c>
      <c r="H590" s="6" t="inlineStr">
        <is>
          <t>TRAITEUR 90 Gr</t>
        </is>
      </c>
      <c r="I590" s="6" t="inlineStr">
        <is>
          <t>90 g</t>
        </is>
      </c>
      <c r="J590" s="6" t="inlineStr">
        <is>
          <t>NON</t>
        </is>
      </c>
      <c r="K590" s="7" t="inlineStr">
        <is>
          <t>5.5 %</t>
        </is>
      </c>
      <c r="L590" s="8" t="n">
        <v>2.6</v>
      </c>
      <c r="M590" s="9" t="n">
        <v>6.3</v>
      </c>
      <c r="N590" s="10" t="inlineStr">
        <is>
          <t>PROPOSÉ</t>
        </is>
      </c>
      <c r="O590" s="11">
        <f>IF(M590="","",M590-L590)</f>
        <v/>
      </c>
      <c r="P590" s="12">
        <f>IF(OR(M590="",M590=0),"",(M590-L590)/M590)</f>
        <v/>
      </c>
      <c r="Q590" s="13">
        <f>IF(OR(M590="",L590=0,L590=""),"",M590/L590)</f>
        <v/>
      </c>
      <c r="R590" s="11">
        <f>IF(M590="","",M590*1.055)</f>
        <v/>
      </c>
      <c r="S590" s="14" t="n"/>
      <c r="T590" s="15" t="n"/>
    </row>
    <row r="591">
      <c r="A591" s="16" t="inlineStr">
        <is>
          <t>PROD-0091</t>
        </is>
      </c>
      <c r="B591" s="16" t="inlineStr">
        <is>
          <t>Rilletes de poulet au piment d'Espelette 90 grs</t>
        </is>
      </c>
      <c r="C591" s="16" t="inlineStr">
        <is>
          <t>TRAITEUR_CHARCUTERIE</t>
        </is>
      </c>
      <c r="D591" s="16" t="inlineStr">
        <is>
          <t>CHARCUTERIE_ET_TERRINE</t>
        </is>
      </c>
      <c r="E591" s="16" t="inlineStr">
        <is>
          <t>ESSENTIEL</t>
        </is>
      </c>
      <c r="F591" s="16" t="inlineStr">
        <is>
          <t>PÈRE ROUPSARD</t>
        </is>
      </c>
      <c r="G591" s="16" t="inlineStr">
        <is>
          <t>NORMAND DIRECT TERROIR</t>
        </is>
      </c>
      <c r="H591" s="16" t="inlineStr">
        <is>
          <t>TRAITEUR 90 Gr</t>
        </is>
      </c>
      <c r="I591" s="16" t="inlineStr">
        <is>
          <t>90 g</t>
        </is>
      </c>
      <c r="J591" s="16" t="inlineStr">
        <is>
          <t>NON</t>
        </is>
      </c>
      <c r="K591" s="17" t="inlineStr">
        <is>
          <t>5.5 %</t>
        </is>
      </c>
      <c r="L591" s="18" t="n">
        <v>2.6</v>
      </c>
      <c r="M591" s="9" t="n">
        <v>6.3</v>
      </c>
      <c r="N591" s="10" t="inlineStr">
        <is>
          <t>PROPOSÉ</t>
        </is>
      </c>
      <c r="O591" s="11">
        <f>IF(M591="","",M591-L591)</f>
        <v/>
      </c>
      <c r="P591" s="12">
        <f>IF(OR(M591="",M591=0),"",(M591-L591)/M591)</f>
        <v/>
      </c>
      <c r="Q591" s="13">
        <f>IF(OR(M591="",L591=0,L591=""),"",M591/L591)</f>
        <v/>
      </c>
      <c r="R591" s="11">
        <f>IF(M591="","",M591*1.055)</f>
        <v/>
      </c>
      <c r="S591" s="14" t="n"/>
      <c r="T591" s="15" t="n"/>
    </row>
    <row r="592">
      <c r="A592" s="6" t="inlineStr">
        <is>
          <t>PROD-0074</t>
        </is>
      </c>
      <c r="B592" s="6" t="inlineStr">
        <is>
          <t>Boudin campagnard aux pomme 90 grs</t>
        </is>
      </c>
      <c r="C592" s="6" t="inlineStr">
        <is>
          <t>TRAITEUR_CHARCUTERIE</t>
        </is>
      </c>
      <c r="D592" s="6" t="inlineStr">
        <is>
          <t>CHARCUTERIE_ET_TERRINE</t>
        </is>
      </c>
      <c r="E592" s="6" t="inlineStr">
        <is>
          <t>ESSENTIEL</t>
        </is>
      </c>
      <c r="F592" s="6" t="inlineStr">
        <is>
          <t>PÈRE ROUPSARD</t>
        </is>
      </c>
      <c r="G592" s="6" t="inlineStr">
        <is>
          <t>NORMAND DIRECT TERROIR</t>
        </is>
      </c>
      <c r="H592" s="6" t="inlineStr">
        <is>
          <t>TRAITEUR 90 Gr</t>
        </is>
      </c>
      <c r="I592" s="6" t="inlineStr">
        <is>
          <t>90 g</t>
        </is>
      </c>
      <c r="J592" s="6" t="inlineStr">
        <is>
          <t>NON</t>
        </is>
      </c>
      <c r="K592" s="7" t="inlineStr">
        <is>
          <t>5.5 %</t>
        </is>
      </c>
      <c r="L592" s="8" t="n">
        <v>2.18</v>
      </c>
      <c r="M592" s="9" t="n">
        <v>5.3</v>
      </c>
      <c r="N592" s="10" t="inlineStr">
        <is>
          <t>PROPOSÉ</t>
        </is>
      </c>
      <c r="O592" s="11">
        <f>IF(M592="","",M592-L592)</f>
        <v/>
      </c>
      <c r="P592" s="12">
        <f>IF(OR(M592="",M592=0),"",(M592-L592)/M592)</f>
        <v/>
      </c>
      <c r="Q592" s="13">
        <f>IF(OR(M592="",L592=0,L592=""),"",M592/L592)</f>
        <v/>
      </c>
      <c r="R592" s="11">
        <f>IF(M592="","",M592*1.055)</f>
        <v/>
      </c>
      <c r="S592" s="14" t="n"/>
      <c r="T592" s="15" t="n"/>
    </row>
    <row r="593">
      <c r="A593" s="16" t="inlineStr">
        <is>
          <t>PROD-0476</t>
        </is>
      </c>
      <c r="B593" s="16" t="inlineStr">
        <is>
          <t>Cœur de roti (COPPA) env 200gr</t>
        </is>
      </c>
      <c r="C593" s="16" t="inlineStr">
        <is>
          <t>TRAITEUR_CHARCUTERIE</t>
        </is>
      </c>
      <c r="D593" s="16" t="inlineStr">
        <is>
          <t>CHARCUTERIE_ET_TERRINE</t>
        </is>
      </c>
      <c r="E593" s="16" t="inlineStr">
        <is>
          <t>SIGNATURE</t>
        </is>
      </c>
      <c r="F593" s="16" t="inlineStr">
        <is>
          <t>BARBAQUES</t>
        </is>
      </c>
      <c r="G593" s="16" t="inlineStr">
        <is>
          <t>NORMAND DIRECT TERROIR</t>
        </is>
      </c>
      <c r="H593" s="16" t="inlineStr">
        <is>
          <t>charcutier salaisonnier</t>
        </is>
      </c>
      <c r="I593" s="16" t="inlineStr">
        <is>
          <t>200 g</t>
        </is>
      </c>
      <c r="J593" s="16" t="inlineStr">
        <is>
          <t>NON</t>
        </is>
      </c>
      <c r="K593" s="17" t="inlineStr">
        <is>
          <t>5.5 %</t>
        </is>
      </c>
      <c r="L593" s="18" t="n">
        <v>7.98</v>
      </c>
      <c r="M593" s="9" t="n">
        <v>17.6</v>
      </c>
      <c r="N593" s="10" t="inlineStr">
        <is>
          <t>PROPOSÉ</t>
        </is>
      </c>
      <c r="O593" s="11">
        <f>IF(M593="","",M593-L593)</f>
        <v/>
      </c>
      <c r="P593" s="12">
        <f>IF(OR(M593="",M593=0),"",(M593-L593)/M593)</f>
        <v/>
      </c>
      <c r="Q593" s="13">
        <f>IF(OR(M593="",L593=0,L593=""),"",M593/L593)</f>
        <v/>
      </c>
      <c r="R593" s="11">
        <f>IF(M593="","",M593*1.055)</f>
        <v/>
      </c>
      <c r="S593" s="14" t="n"/>
      <c r="T593" s="15" t="n"/>
    </row>
    <row r="594">
      <c r="A594" s="6" t="inlineStr">
        <is>
          <t>PROD-0477</t>
        </is>
      </c>
      <c r="B594" s="6" t="inlineStr">
        <is>
          <t>Noix de roti (LONZU) env 200gr</t>
        </is>
      </c>
      <c r="C594" s="6" t="inlineStr">
        <is>
          <t>TRAITEUR_CHARCUTERIE</t>
        </is>
      </c>
      <c r="D594" s="6" t="inlineStr">
        <is>
          <t>CHARCUTERIE_ET_TERRINE</t>
        </is>
      </c>
      <c r="E594" s="6" t="inlineStr">
        <is>
          <t>SIGNATURE</t>
        </is>
      </c>
      <c r="F594" s="6" t="inlineStr">
        <is>
          <t>BARBAQUES</t>
        </is>
      </c>
      <c r="G594" s="6" t="inlineStr">
        <is>
          <t>NORMAND DIRECT TERROIR</t>
        </is>
      </c>
      <c r="H594" s="6" t="inlineStr">
        <is>
          <t>charcutier salaisonnier</t>
        </is>
      </c>
      <c r="I594" s="6" t="inlineStr">
        <is>
          <t>200 g</t>
        </is>
      </c>
      <c r="J594" s="6" t="inlineStr">
        <is>
          <t>NON</t>
        </is>
      </c>
      <c r="K594" s="7" t="inlineStr">
        <is>
          <t>5.5 %</t>
        </is>
      </c>
      <c r="L594" s="8" t="n">
        <v>7.98</v>
      </c>
      <c r="M594" s="9" t="n">
        <v>17.6</v>
      </c>
      <c r="N594" s="10" t="inlineStr">
        <is>
          <t>PROPOSÉ</t>
        </is>
      </c>
      <c r="O594" s="11">
        <f>IF(M594="","",M594-L594)</f>
        <v/>
      </c>
      <c r="P594" s="12">
        <f>IF(OR(M594="",M594=0),"",(M594-L594)/M594)</f>
        <v/>
      </c>
      <c r="Q594" s="13">
        <f>IF(OR(M594="",L594=0,L594=""),"",M594/L594)</f>
        <v/>
      </c>
      <c r="R594" s="11">
        <f>IF(M594="","",M594*1.055)</f>
        <v/>
      </c>
      <c r="S594" s="14" t="n"/>
      <c r="T594" s="15" t="n"/>
    </row>
    <row r="595">
      <c r="A595" s="16" t="inlineStr">
        <is>
          <t>PROD-0479</t>
        </is>
      </c>
      <c r="B595" s="16" t="inlineStr">
        <is>
          <t>Gorge de porc séché facon Guanciale env 200gr</t>
        </is>
      </c>
      <c r="C595" s="16" t="inlineStr">
        <is>
          <t>TRAITEUR_CHARCUTERIE</t>
        </is>
      </c>
      <c r="D595" s="16" t="inlineStr">
        <is>
          <t>CHARCUTERIE_ET_TERRINE</t>
        </is>
      </c>
      <c r="E595" s="16" t="inlineStr">
        <is>
          <t>SIGNATURE</t>
        </is>
      </c>
      <c r="F595" s="16" t="inlineStr">
        <is>
          <t>BARBAQUES</t>
        </is>
      </c>
      <c r="G595" s="16" t="inlineStr">
        <is>
          <t>NORMAND DIRECT TERROIR</t>
        </is>
      </c>
      <c r="H595" s="16" t="inlineStr">
        <is>
          <t>charcutier salaisonnier</t>
        </is>
      </c>
      <c r="I595" s="16" t="inlineStr">
        <is>
          <t>200 g</t>
        </is>
      </c>
      <c r="J595" s="16" t="inlineStr">
        <is>
          <t>NON</t>
        </is>
      </c>
      <c r="K595" s="17" t="inlineStr">
        <is>
          <t>5.5 %</t>
        </is>
      </c>
      <c r="L595" s="18" t="n">
        <v>7.98</v>
      </c>
      <c r="M595" s="9" t="n">
        <v>17.6</v>
      </c>
      <c r="N595" s="10" t="inlineStr">
        <is>
          <t>PROPOSÉ</t>
        </is>
      </c>
      <c r="O595" s="11">
        <f>IF(M595="","",M595-L595)</f>
        <v/>
      </c>
      <c r="P595" s="12">
        <f>IF(OR(M595="",M595=0),"",(M595-L595)/M595)</f>
        <v/>
      </c>
      <c r="Q595" s="13">
        <f>IF(OR(M595="",L595=0,L595=""),"",M595/L595)</f>
        <v/>
      </c>
      <c r="R595" s="11">
        <f>IF(M595="","",M595*1.055)</f>
        <v/>
      </c>
      <c r="S595" s="14" t="n"/>
      <c r="T595" s="15" t="n"/>
    </row>
    <row r="596">
      <c r="A596" s="6" t="inlineStr">
        <is>
          <t>PROD-0475</t>
        </is>
      </c>
      <c r="B596" s="6" t="inlineStr">
        <is>
          <t>Chorisson env 225gr</t>
        </is>
      </c>
      <c r="C596" s="6" t="inlineStr">
        <is>
          <t>TRAITEUR_CHARCUTERIE</t>
        </is>
      </c>
      <c r="D596" s="6" t="inlineStr">
        <is>
          <t>CHARCUTERIE_ET_TERRINE</t>
        </is>
      </c>
      <c r="E596" s="6" t="inlineStr">
        <is>
          <t>SIGNATURE</t>
        </is>
      </c>
      <c r="F596" s="6" t="inlineStr">
        <is>
          <t>BARBAQUES</t>
        </is>
      </c>
      <c r="G596" s="6" t="inlineStr">
        <is>
          <t>NORMAND DIRECT TERROIR</t>
        </is>
      </c>
      <c r="H596" s="6" t="inlineStr">
        <is>
          <t>charcutier salaisonnier</t>
        </is>
      </c>
      <c r="I596" s="6" t="inlineStr">
        <is>
          <t>225 g</t>
        </is>
      </c>
      <c r="J596" s="6" t="inlineStr">
        <is>
          <t>NON</t>
        </is>
      </c>
      <c r="K596" s="7" t="inlineStr">
        <is>
          <t>5.5 %</t>
        </is>
      </c>
      <c r="L596" s="8" t="n">
        <v>7.5</v>
      </c>
      <c r="M596" s="9" t="n">
        <v>16.5</v>
      </c>
      <c r="N596" s="10" t="inlineStr">
        <is>
          <t>PROPOSÉ</t>
        </is>
      </c>
      <c r="O596" s="11">
        <f>IF(M596="","",M596-L596)</f>
        <v/>
      </c>
      <c r="P596" s="12">
        <f>IF(OR(M596="",M596=0),"",(M596-L596)/M596)</f>
        <v/>
      </c>
      <c r="Q596" s="13">
        <f>IF(OR(M596="",L596=0,L596=""),"",M596/L596)</f>
        <v/>
      </c>
      <c r="R596" s="11">
        <f>IF(M596="","",M596*1.055)</f>
        <v/>
      </c>
      <c r="S596" s="14" t="n"/>
      <c r="T596" s="15" t="n"/>
    </row>
    <row r="597">
      <c r="A597" s="16" t="inlineStr">
        <is>
          <t>PROD-0474</t>
        </is>
      </c>
      <c r="B597" s="16" t="inlineStr">
        <is>
          <t>Saucisson épices vin rouge env 225gr</t>
        </is>
      </c>
      <c r="C597" s="16" t="inlineStr">
        <is>
          <t>TRAITEUR_CHARCUTERIE</t>
        </is>
      </c>
      <c r="D597" s="16" t="inlineStr">
        <is>
          <t>CHARCUTERIE_ET_TERRINE</t>
        </is>
      </c>
      <c r="E597" s="16" t="inlineStr">
        <is>
          <t>SIGNATURE</t>
        </is>
      </c>
      <c r="F597" s="16" t="inlineStr">
        <is>
          <t>BARBAQUES</t>
        </is>
      </c>
      <c r="G597" s="16" t="inlineStr">
        <is>
          <t>NORMAND DIRECT TERROIR</t>
        </is>
      </c>
      <c r="H597" s="16" t="inlineStr">
        <is>
          <t>charcutier salaisonnier</t>
        </is>
      </c>
      <c r="I597" s="16" t="inlineStr">
        <is>
          <t>225 g</t>
        </is>
      </c>
      <c r="J597" s="16" t="inlineStr">
        <is>
          <t>INGREDIENT_ALCOOLISE</t>
        </is>
      </c>
      <c r="K597" s="17" t="inlineStr">
        <is>
          <t>5.5 %</t>
        </is>
      </c>
      <c r="L597" s="18" t="n">
        <v>6.95</v>
      </c>
      <c r="M597" s="9" t="n">
        <v>15.3</v>
      </c>
      <c r="N597" s="10" t="inlineStr">
        <is>
          <t>PROPOSÉ</t>
        </is>
      </c>
      <c r="O597" s="11">
        <f>IF(M597="","",M597-L597)</f>
        <v/>
      </c>
      <c r="P597" s="12">
        <f>IF(OR(M597="",M597=0),"",(M597-L597)/M597)</f>
        <v/>
      </c>
      <c r="Q597" s="13">
        <f>IF(OR(M597="",L597=0,L597=""),"",M597/L597)</f>
        <v/>
      </c>
      <c r="R597" s="11">
        <f>IF(M597="","",M597*1.055)</f>
        <v/>
      </c>
      <c r="S597" s="14" t="n"/>
      <c r="T597" s="15" t="n"/>
    </row>
    <row r="598">
      <c r="A598" s="6" t="inlineStr">
        <is>
          <t>PROD-0480</t>
        </is>
      </c>
      <c r="B598" s="6" t="inlineStr">
        <is>
          <t>Saucisse seche env 175gr</t>
        </is>
      </c>
      <c r="C598" s="6" t="inlineStr">
        <is>
          <t>TRAITEUR_CHARCUTERIE</t>
        </is>
      </c>
      <c r="D598" s="6" t="inlineStr">
        <is>
          <t>CHARCUTERIE_ET_TERRINE</t>
        </is>
      </c>
      <c r="E598" s="6" t="inlineStr">
        <is>
          <t>SIGNATURE</t>
        </is>
      </c>
      <c r="F598" s="6" t="inlineStr">
        <is>
          <t>BARBAQUES</t>
        </is>
      </c>
      <c r="G598" s="6" t="inlineStr">
        <is>
          <t>NORMAND DIRECT TERROIR</t>
        </is>
      </c>
      <c r="H598" s="6" t="inlineStr">
        <is>
          <t>charcutier salaisonnier</t>
        </is>
      </c>
      <c r="I598" s="6" t="inlineStr">
        <is>
          <t>175 g</t>
        </is>
      </c>
      <c r="J598" s="6" t="inlineStr">
        <is>
          <t>NON</t>
        </is>
      </c>
      <c r="K598" s="7" t="inlineStr">
        <is>
          <t>5.5 %</t>
        </is>
      </c>
      <c r="L598" s="8" t="n">
        <v>6.47</v>
      </c>
      <c r="M598" s="9" t="n">
        <v>14.2</v>
      </c>
      <c r="N598" s="10" t="inlineStr">
        <is>
          <t>PROPOSÉ</t>
        </is>
      </c>
      <c r="O598" s="11">
        <f>IF(M598="","",M598-L598)</f>
        <v/>
      </c>
      <c r="P598" s="12">
        <f>IF(OR(M598="",M598=0),"",(M598-L598)/M598)</f>
        <v/>
      </c>
      <c r="Q598" s="13">
        <f>IF(OR(M598="",L598=0,L598=""),"",M598/L598)</f>
        <v/>
      </c>
      <c r="R598" s="11">
        <f>IF(M598="","",M598*1.055)</f>
        <v/>
      </c>
      <c r="S598" s="14" t="n"/>
      <c r="T598" s="15" t="n"/>
    </row>
    <row r="599">
      <c r="A599" s="16" t="inlineStr">
        <is>
          <t>PROD-0473</t>
        </is>
      </c>
      <c r="B599" s="16" t="inlineStr">
        <is>
          <t>Saucisson sec nature env 225gr</t>
        </is>
      </c>
      <c r="C599" s="16" t="inlineStr">
        <is>
          <t>TRAITEUR_CHARCUTERIE</t>
        </is>
      </c>
      <c r="D599" s="16" t="inlineStr">
        <is>
          <t>CHARCUTERIE_ET_TERRINE</t>
        </is>
      </c>
      <c r="E599" s="16" t="inlineStr">
        <is>
          <t>SIGNATURE</t>
        </is>
      </c>
      <c r="F599" s="16" t="inlineStr">
        <is>
          <t>BARBAQUES</t>
        </is>
      </c>
      <c r="G599" s="16" t="inlineStr">
        <is>
          <t>NORMAND DIRECT TERROIR</t>
        </is>
      </c>
      <c r="H599" s="16" t="inlineStr">
        <is>
          <t>charcutier salaisonnier</t>
        </is>
      </c>
      <c r="I599" s="16" t="inlineStr">
        <is>
          <t>225 g</t>
        </is>
      </c>
      <c r="J599" s="16" t="inlineStr">
        <is>
          <t>NON</t>
        </is>
      </c>
      <c r="K599" s="17" t="inlineStr">
        <is>
          <t>5.5 %</t>
        </is>
      </c>
      <c r="L599" s="18" t="n">
        <v>6.35</v>
      </c>
      <c r="M599" s="9" t="n">
        <v>14</v>
      </c>
      <c r="N599" s="10" t="inlineStr">
        <is>
          <t>PROPOSÉ</t>
        </is>
      </c>
      <c r="O599" s="11">
        <f>IF(M599="","",M599-L599)</f>
        <v/>
      </c>
      <c r="P599" s="12">
        <f>IF(OR(M599="",M599=0),"",(M599-L599)/M599)</f>
        <v/>
      </c>
      <c r="Q599" s="13">
        <f>IF(OR(M599="",L599=0,L599=""),"",M599/L599)</f>
        <v/>
      </c>
      <c r="R599" s="11">
        <f>IF(M599="","",M599*1.055)</f>
        <v/>
      </c>
      <c r="S599" s="14" t="n"/>
      <c r="T599" s="15" t="n"/>
    </row>
    <row r="600">
      <c r="A600" s="6" t="inlineStr">
        <is>
          <t>PROD-0113</t>
        </is>
      </c>
      <c r="B600" s="6" t="inlineStr">
        <is>
          <t>Foie gras de canard pot le parfait 180 grs</t>
        </is>
      </c>
      <c r="C600" s="6" t="inlineStr">
        <is>
          <t>TRAITEUR_CHARCUTERIE</t>
        </is>
      </c>
      <c r="D600" s="6" t="inlineStr">
        <is>
          <t>FOIE_GRAS</t>
        </is>
      </c>
      <c r="E600" s="6" t="inlineStr">
        <is>
          <t>PREMIUM</t>
        </is>
      </c>
      <c r="F600" s="6" t="inlineStr">
        <is>
          <t>PÈRE ROUPSARD TRAITEUR</t>
        </is>
      </c>
      <c r="G600" s="6" t="inlineStr">
        <is>
          <t>NORMAND DIRECT TERROIR</t>
        </is>
      </c>
      <c r="H600" s="6" t="inlineStr"/>
      <c r="I600" s="6" t="inlineStr">
        <is>
          <t>180 g</t>
        </is>
      </c>
      <c r="J600" s="6" t="inlineStr">
        <is>
          <t>NON</t>
        </is>
      </c>
      <c r="K600" s="7" t="inlineStr">
        <is>
          <t>5.5 %</t>
        </is>
      </c>
      <c r="L600" s="8" t="n">
        <v>20.6</v>
      </c>
      <c r="M600" s="9" t="n">
        <v>38.5</v>
      </c>
      <c r="N600" s="10" t="inlineStr">
        <is>
          <t>PROPOSÉ</t>
        </is>
      </c>
      <c r="O600" s="11">
        <f>IF(M600="","",M600-L600)</f>
        <v/>
      </c>
      <c r="P600" s="12">
        <f>IF(OR(M600="",M600=0),"",(M600-L600)/M600)</f>
        <v/>
      </c>
      <c r="Q600" s="13">
        <f>IF(OR(M600="",L600=0,L600=""),"",M600/L600)</f>
        <v/>
      </c>
      <c r="R600" s="11">
        <f>IF(M600="","",M600*1.055)</f>
        <v/>
      </c>
      <c r="S600" s="14" t="n"/>
      <c r="T600" s="15" t="n"/>
    </row>
    <row r="601">
      <c r="A601" s="16" t="inlineStr">
        <is>
          <t>PROD-0112</t>
        </is>
      </c>
      <c r="B601" s="16" t="inlineStr">
        <is>
          <t>Foie gras de canard pot le parfait 120 grs</t>
        </is>
      </c>
      <c r="C601" s="16" t="inlineStr">
        <is>
          <t>TRAITEUR_CHARCUTERIE</t>
        </is>
      </c>
      <c r="D601" s="16" t="inlineStr">
        <is>
          <t>FOIE_GRAS</t>
        </is>
      </c>
      <c r="E601" s="16" t="inlineStr">
        <is>
          <t>PREMIUM</t>
        </is>
      </c>
      <c r="F601" s="16" t="inlineStr">
        <is>
          <t>PÈRE ROUPSARD TRAITEUR</t>
        </is>
      </c>
      <c r="G601" s="16" t="inlineStr">
        <is>
          <t>NORMAND DIRECT TERROIR</t>
        </is>
      </c>
      <c r="H601" s="16" t="inlineStr"/>
      <c r="I601" s="16" t="inlineStr">
        <is>
          <t>120 g</t>
        </is>
      </c>
      <c r="J601" s="16" t="inlineStr">
        <is>
          <t>NON</t>
        </is>
      </c>
      <c r="K601" s="17" t="inlineStr">
        <is>
          <t>5.5 %</t>
        </is>
      </c>
      <c r="L601" s="18" t="n">
        <v>14.65</v>
      </c>
      <c r="M601" s="9" t="n">
        <v>29.5</v>
      </c>
      <c r="N601" s="10" t="inlineStr">
        <is>
          <t>PROPOSÉ</t>
        </is>
      </c>
      <c r="O601" s="11">
        <f>IF(M601="","",M601-L601)</f>
        <v/>
      </c>
      <c r="P601" s="12">
        <f>IF(OR(M601="",M601=0),"",(M601-L601)/M601)</f>
        <v/>
      </c>
      <c r="Q601" s="13">
        <f>IF(OR(M601="",L601=0,L601=""),"",M601/L601)</f>
        <v/>
      </c>
      <c r="R601" s="11">
        <f>IF(M601="","",M601*1.055)</f>
        <v/>
      </c>
      <c r="S601" s="14" t="n"/>
      <c r="T601" s="15" t="n"/>
    </row>
    <row r="602">
      <c r="A602" s="6" t="inlineStr">
        <is>
          <t>PROD-0478</t>
        </is>
      </c>
      <c r="B602" s="6" t="inlineStr">
        <is>
          <t>Bœuf Normand séché env 200gr</t>
        </is>
      </c>
      <c r="C602" s="6" t="inlineStr">
        <is>
          <t>TRAITEUR_CHARCUTERIE</t>
        </is>
      </c>
      <c r="D602" s="6" t="inlineStr">
        <is>
          <t>CHARCUTERIE_ET_TERRINE</t>
        </is>
      </c>
      <c r="E602" s="6" t="inlineStr">
        <is>
          <t>PREMIUM</t>
        </is>
      </c>
      <c r="F602" s="6" t="inlineStr">
        <is>
          <t>BARBAQUES</t>
        </is>
      </c>
      <c r="G602" s="6" t="inlineStr">
        <is>
          <t>NORMAND DIRECT TERROIR</t>
        </is>
      </c>
      <c r="H602" s="6" t="inlineStr">
        <is>
          <t>charcutier salaisonnier</t>
        </is>
      </c>
      <c r="I602" s="6" t="inlineStr">
        <is>
          <t>200 g</t>
        </is>
      </c>
      <c r="J602" s="6" t="inlineStr">
        <is>
          <t>NON</t>
        </is>
      </c>
      <c r="K602" s="7" t="inlineStr">
        <is>
          <t>5.5 %</t>
        </is>
      </c>
      <c r="L602" s="8" t="n">
        <v>13.7</v>
      </c>
      <c r="M602" s="9" t="n">
        <v>27.5</v>
      </c>
      <c r="N602" s="10" t="inlineStr">
        <is>
          <t>PROPOSÉ</t>
        </is>
      </c>
      <c r="O602" s="11">
        <f>IF(M602="","",M602-L602)</f>
        <v/>
      </c>
      <c r="P602" s="12">
        <f>IF(OR(M602="",M602=0),"",(M602-L602)/M602)</f>
        <v/>
      </c>
      <c r="Q602" s="13">
        <f>IF(OR(M602="",L602=0,L602=""),"",M602/L602)</f>
        <v/>
      </c>
      <c r="R602" s="11">
        <f>IF(M602="","",M602*1.055)</f>
        <v/>
      </c>
      <c r="S602" s="14" t="n"/>
      <c r="T602" s="15" t="n"/>
    </row>
    <row r="603">
      <c r="A603" s="16" t="inlineStr">
        <is>
          <t>PROD-0161</t>
        </is>
      </c>
      <c r="B603" s="16" t="inlineStr">
        <is>
          <t>Bisque d'étrille 480 ml</t>
        </is>
      </c>
      <c r="C603" s="16" t="inlineStr">
        <is>
          <t>TRAITEUR_MER</t>
        </is>
      </c>
      <c r="D603" s="16" t="inlineStr">
        <is>
          <t>SOUPE_ET_BISQUE</t>
        </is>
      </c>
      <c r="E603" s="16" t="inlineStr">
        <is>
          <t>ESSENTIEL</t>
        </is>
      </c>
      <c r="F603" s="16" t="inlineStr">
        <is>
          <t>MAISON SAINT LO</t>
        </is>
      </c>
      <c r="G603" s="16" t="inlineStr">
        <is>
          <t>NORMAND DIRECT TERROIR</t>
        </is>
      </c>
      <c r="H603" s="16" t="inlineStr"/>
      <c r="I603" s="16" t="inlineStr">
        <is>
          <t>480 ml</t>
        </is>
      </c>
      <c r="J603" s="16" t="inlineStr">
        <is>
          <t>NON</t>
        </is>
      </c>
      <c r="K603" s="17" t="inlineStr">
        <is>
          <t>5.5 %</t>
        </is>
      </c>
      <c r="L603" s="18" t="n">
        <v>4.9</v>
      </c>
      <c r="M603" s="9" t="n">
        <v>10.8</v>
      </c>
      <c r="N603" s="10" t="inlineStr">
        <is>
          <t>PROPOSÉ</t>
        </is>
      </c>
      <c r="O603" s="11">
        <f>IF(M603="","",M603-L603)</f>
        <v/>
      </c>
      <c r="P603" s="12">
        <f>IF(OR(M603="",M603=0),"",(M603-L603)/M603)</f>
        <v/>
      </c>
      <c r="Q603" s="13">
        <f>IF(OR(M603="",L603=0,L603=""),"",M603/L603)</f>
        <v/>
      </c>
      <c r="R603" s="11">
        <f>IF(M603="","",M603*1.055)</f>
        <v/>
      </c>
      <c r="S603" s="14" t="n"/>
      <c r="T603" s="15" t="n"/>
    </row>
    <row r="604">
      <c r="A604" s="6" t="inlineStr">
        <is>
          <t>PROD-0177</t>
        </is>
      </c>
      <c r="B604" s="6" t="inlineStr">
        <is>
          <t>Rillettes de saumon noix st Jacques 140 grs</t>
        </is>
      </c>
      <c r="C604" s="6" t="inlineStr">
        <is>
          <t>TRAITEUR_MER</t>
        </is>
      </c>
      <c r="D604" s="6" t="inlineStr">
        <is>
          <t>PRODUIT_DE_LA_MER</t>
        </is>
      </c>
      <c r="E604" s="6" t="inlineStr">
        <is>
          <t>ESSENTIEL</t>
        </is>
      </c>
      <c r="F604" s="6" t="inlineStr">
        <is>
          <t>MAISON SAINT LO</t>
        </is>
      </c>
      <c r="G604" s="6" t="inlineStr">
        <is>
          <t>NORMAND DIRECT TERROIR</t>
        </is>
      </c>
      <c r="H604" s="6" t="inlineStr"/>
      <c r="I604" s="6" t="inlineStr">
        <is>
          <t>140 g</t>
        </is>
      </c>
      <c r="J604" s="6" t="inlineStr">
        <is>
          <t>NON</t>
        </is>
      </c>
      <c r="K604" s="7" t="inlineStr">
        <is>
          <t>5.5 %</t>
        </is>
      </c>
      <c r="L604" s="8" t="n">
        <v>4.9</v>
      </c>
      <c r="M604" s="9" t="n">
        <v>10.8</v>
      </c>
      <c r="N604" s="10" t="inlineStr">
        <is>
          <t>PROPOSÉ</t>
        </is>
      </c>
      <c r="O604" s="11">
        <f>IF(M604="","",M604-L604)</f>
        <v/>
      </c>
      <c r="P604" s="12">
        <f>IF(OR(M604="",M604=0),"",(M604-L604)/M604)</f>
        <v/>
      </c>
      <c r="Q604" s="13">
        <f>IF(OR(M604="",L604=0,L604=""),"",M604/L604)</f>
        <v/>
      </c>
      <c r="R604" s="11">
        <f>IF(M604="","",M604*1.055)</f>
        <v/>
      </c>
      <c r="S604" s="14" t="n"/>
      <c r="T604" s="15" t="n"/>
    </row>
    <row r="605">
      <c r="A605" s="16" t="inlineStr">
        <is>
          <t>PROD-0178</t>
        </is>
      </c>
      <c r="B605" s="16" t="inlineStr">
        <is>
          <t>Rillettes de truite noix de st jacques 140 grs</t>
        </is>
      </c>
      <c r="C605" s="16" t="inlineStr">
        <is>
          <t>TRAITEUR_MER</t>
        </is>
      </c>
      <c r="D605" s="16" t="inlineStr">
        <is>
          <t>PRODUIT_DE_LA_MER</t>
        </is>
      </c>
      <c r="E605" s="16" t="inlineStr">
        <is>
          <t>ESSENTIEL</t>
        </is>
      </c>
      <c r="F605" s="16" t="inlineStr">
        <is>
          <t>MAISON SAINT LO</t>
        </is>
      </c>
      <c r="G605" s="16" t="inlineStr">
        <is>
          <t>NORMAND DIRECT TERROIR</t>
        </is>
      </c>
      <c r="H605" s="16" t="inlineStr"/>
      <c r="I605" s="16" t="inlineStr">
        <is>
          <t>140 g</t>
        </is>
      </c>
      <c r="J605" s="16" t="inlineStr">
        <is>
          <t>NON</t>
        </is>
      </c>
      <c r="K605" s="17" t="inlineStr">
        <is>
          <t>5.5 %</t>
        </is>
      </c>
      <c r="L605" s="18" t="n">
        <v>4.9</v>
      </c>
      <c r="M605" s="9" t="n">
        <v>10.8</v>
      </c>
      <c r="N605" s="10" t="inlineStr">
        <is>
          <t>PROPOSÉ</t>
        </is>
      </c>
      <c r="O605" s="11">
        <f>IF(M605="","",M605-L605)</f>
        <v/>
      </c>
      <c r="P605" s="12">
        <f>IF(OR(M605="",M605=0),"",(M605-L605)/M605)</f>
        <v/>
      </c>
      <c r="Q605" s="13">
        <f>IF(OR(M605="",L605=0,L605=""),"",M605/L605)</f>
        <v/>
      </c>
      <c r="R605" s="11">
        <f>IF(M605="","",M605*1.055)</f>
        <v/>
      </c>
      <c r="S605" s="14" t="n"/>
      <c r="T605" s="15" t="n"/>
    </row>
    <row r="606">
      <c r="A606" s="6" t="inlineStr">
        <is>
          <t>PROD-0179</t>
        </is>
      </c>
      <c r="B606" s="6" t="inlineStr">
        <is>
          <t>Terrine de truite fumée 140 grs</t>
        </is>
      </c>
      <c r="C606" s="6" t="inlineStr">
        <is>
          <t>TRAITEUR_MER</t>
        </is>
      </c>
      <c r="D606" s="6" t="inlineStr">
        <is>
          <t>PRODUIT_DE_LA_MER</t>
        </is>
      </c>
      <c r="E606" s="6" t="inlineStr">
        <is>
          <t>ESSENTIEL</t>
        </is>
      </c>
      <c r="F606" s="6" t="inlineStr">
        <is>
          <t>MAISON SAINT LO</t>
        </is>
      </c>
      <c r="G606" s="6" t="inlineStr">
        <is>
          <t>NORMAND DIRECT TERROIR</t>
        </is>
      </c>
      <c r="H606" s="6" t="inlineStr"/>
      <c r="I606" s="6" t="inlineStr">
        <is>
          <t>140 g</t>
        </is>
      </c>
      <c r="J606" s="6" t="inlineStr">
        <is>
          <t>NON</t>
        </is>
      </c>
      <c r="K606" s="7" t="inlineStr">
        <is>
          <t>5.5 %</t>
        </is>
      </c>
      <c r="L606" s="8" t="n">
        <v>4.9</v>
      </c>
      <c r="M606" s="9" t="n">
        <v>10.8</v>
      </c>
      <c r="N606" s="10" t="inlineStr">
        <is>
          <t>PROPOSÉ</t>
        </is>
      </c>
      <c r="O606" s="11">
        <f>IF(M606="","",M606-L606)</f>
        <v/>
      </c>
      <c r="P606" s="12">
        <f>IF(OR(M606="",M606=0),"",(M606-L606)/M606)</f>
        <v/>
      </c>
      <c r="Q606" s="13">
        <f>IF(OR(M606="",L606=0,L606=""),"",M606/L606)</f>
        <v/>
      </c>
      <c r="R606" s="11">
        <f>IF(M606="","",M606*1.055)</f>
        <v/>
      </c>
      <c r="S606" s="14" t="n"/>
      <c r="T606" s="15" t="n"/>
    </row>
    <row r="607">
      <c r="A607" s="16" t="inlineStr">
        <is>
          <t>PROD-0190</t>
        </is>
      </c>
      <c r="B607" s="16" t="inlineStr">
        <is>
          <t>Rillettes de langoustines 90 grs</t>
        </is>
      </c>
      <c r="C607" s="16" t="inlineStr">
        <is>
          <t>TRAITEUR_MER</t>
        </is>
      </c>
      <c r="D607" s="16" t="inlineStr">
        <is>
          <t>PRODUIT_DE_LA_MER</t>
        </is>
      </c>
      <c r="E607" s="16" t="inlineStr">
        <is>
          <t>ESSENTIEL</t>
        </is>
      </c>
      <c r="F607" s="16" t="inlineStr">
        <is>
          <t>MAISON SAINT LO</t>
        </is>
      </c>
      <c r="G607" s="16" t="inlineStr">
        <is>
          <t>NORMAND DIRECT TERROIR</t>
        </is>
      </c>
      <c r="H607" s="16" t="inlineStr"/>
      <c r="I607" s="16" t="inlineStr">
        <is>
          <t>90 g</t>
        </is>
      </c>
      <c r="J607" s="16" t="inlineStr">
        <is>
          <t>NON</t>
        </is>
      </c>
      <c r="K607" s="17" t="inlineStr">
        <is>
          <t>5.5 %</t>
        </is>
      </c>
      <c r="L607" s="18" t="n">
        <v>4.6</v>
      </c>
      <c r="M607" s="9" t="n">
        <v>10.1</v>
      </c>
      <c r="N607" s="10" t="inlineStr">
        <is>
          <t>PROPOSÉ</t>
        </is>
      </c>
      <c r="O607" s="11">
        <f>IF(M607="","",M607-L607)</f>
        <v/>
      </c>
      <c r="P607" s="12">
        <f>IF(OR(M607="",M607=0),"",(M607-L607)/M607)</f>
        <v/>
      </c>
      <c r="Q607" s="13">
        <f>IF(OR(M607="",L607=0,L607=""),"",M607/L607)</f>
        <v/>
      </c>
      <c r="R607" s="11">
        <f>IF(M607="","",M607*1.055)</f>
        <v/>
      </c>
      <c r="S607" s="14" t="n"/>
      <c r="T607" s="15" t="n"/>
    </row>
    <row r="608">
      <c r="A608" s="6" t="inlineStr">
        <is>
          <t>PROD-0191</t>
        </is>
      </c>
      <c r="B608" s="6" t="inlineStr">
        <is>
          <t>Rillettes de homard 90 grs</t>
        </is>
      </c>
      <c r="C608" s="6" t="inlineStr">
        <is>
          <t>TRAITEUR_MER</t>
        </is>
      </c>
      <c r="D608" s="6" t="inlineStr">
        <is>
          <t>PRODUIT_DE_LA_MER</t>
        </is>
      </c>
      <c r="E608" s="6" t="inlineStr">
        <is>
          <t>ESSENTIEL</t>
        </is>
      </c>
      <c r="F608" s="6" t="inlineStr">
        <is>
          <t>MAISON SAINT LO</t>
        </is>
      </c>
      <c r="G608" s="6" t="inlineStr">
        <is>
          <t>NORMAND DIRECT TERROIR</t>
        </is>
      </c>
      <c r="H608" s="6" t="inlineStr"/>
      <c r="I608" s="6" t="inlineStr">
        <is>
          <t>90 g</t>
        </is>
      </c>
      <c r="J608" s="6" t="inlineStr">
        <is>
          <t>NON</t>
        </is>
      </c>
      <c r="K608" s="7" t="inlineStr">
        <is>
          <t>5.5 %</t>
        </is>
      </c>
      <c r="L608" s="8" t="n">
        <v>4.6</v>
      </c>
      <c r="M608" s="9" t="n">
        <v>10.1</v>
      </c>
      <c r="N608" s="10" t="inlineStr">
        <is>
          <t>PROPOSÉ</t>
        </is>
      </c>
      <c r="O608" s="11">
        <f>IF(M608="","",M608-L608)</f>
        <v/>
      </c>
      <c r="P608" s="12">
        <f>IF(OR(M608="",M608=0),"",(M608-L608)/M608)</f>
        <v/>
      </c>
      <c r="Q608" s="13">
        <f>IF(OR(M608="",L608=0,L608=""),"",M608/L608)</f>
        <v/>
      </c>
      <c r="R608" s="11">
        <f>IF(M608="","",M608*1.055)</f>
        <v/>
      </c>
      <c r="S608" s="14" t="n"/>
      <c r="T608" s="15" t="n"/>
    </row>
    <row r="609">
      <c r="A609" s="16" t="inlineStr">
        <is>
          <t>PROD-0180</t>
        </is>
      </c>
      <c r="B609" s="16" t="inlineStr">
        <is>
          <t>Rillettes de hareng 140 grs</t>
        </is>
      </c>
      <c r="C609" s="16" t="inlineStr">
        <is>
          <t>TRAITEUR_MER</t>
        </is>
      </c>
      <c r="D609" s="16" t="inlineStr">
        <is>
          <t>PRODUIT_DE_LA_MER</t>
        </is>
      </c>
      <c r="E609" s="16" t="inlineStr">
        <is>
          <t>ESSENTIEL</t>
        </is>
      </c>
      <c r="F609" s="16" t="inlineStr">
        <is>
          <t>MAISON SAINT LO</t>
        </is>
      </c>
      <c r="G609" s="16" t="inlineStr">
        <is>
          <t>NORMAND DIRECT TERROIR</t>
        </is>
      </c>
      <c r="H609" s="16" t="inlineStr"/>
      <c r="I609" s="16" t="inlineStr">
        <is>
          <t>140 g</t>
        </is>
      </c>
      <c r="J609" s="16" t="inlineStr">
        <is>
          <t>NON</t>
        </is>
      </c>
      <c r="K609" s="17" t="inlineStr">
        <is>
          <t>5.5 %</t>
        </is>
      </c>
      <c r="L609" s="18" t="n">
        <v>4.5</v>
      </c>
      <c r="M609" s="9" t="n">
        <v>9.9</v>
      </c>
      <c r="N609" s="10" t="inlineStr">
        <is>
          <t>PROPOSÉ</t>
        </is>
      </c>
      <c r="O609" s="11">
        <f>IF(M609="","",M609-L609)</f>
        <v/>
      </c>
      <c r="P609" s="12">
        <f>IF(OR(M609="",M609=0),"",(M609-L609)/M609)</f>
        <v/>
      </c>
      <c r="Q609" s="13">
        <f>IF(OR(M609="",L609=0,L609=""),"",M609/L609)</f>
        <v/>
      </c>
      <c r="R609" s="11">
        <f>IF(M609="","",M609*1.055)</f>
        <v/>
      </c>
      <c r="S609" s="14" t="n"/>
      <c r="T609" s="15" t="n"/>
    </row>
    <row r="610">
      <c r="A610" s="6" t="inlineStr">
        <is>
          <t>PROD-0181</t>
        </is>
      </c>
      <c r="B610" s="6" t="inlineStr">
        <is>
          <t>Rillettes de lieu andouille de Vire 140 grs</t>
        </is>
      </c>
      <c r="C610" s="6" t="inlineStr">
        <is>
          <t>TRAITEUR_MER</t>
        </is>
      </c>
      <c r="D610" s="6" t="inlineStr">
        <is>
          <t>PRODUIT_DE_LA_MER</t>
        </is>
      </c>
      <c r="E610" s="6" t="inlineStr">
        <is>
          <t>ESSENTIEL</t>
        </is>
      </c>
      <c r="F610" s="6" t="inlineStr">
        <is>
          <t>MAISON SAINT LO</t>
        </is>
      </c>
      <c r="G610" s="6" t="inlineStr">
        <is>
          <t>NORMAND DIRECT TERROIR</t>
        </is>
      </c>
      <c r="H610" s="6" t="inlineStr"/>
      <c r="I610" s="6" t="inlineStr">
        <is>
          <t>140 g</t>
        </is>
      </c>
      <c r="J610" s="6" t="inlineStr">
        <is>
          <t>NON</t>
        </is>
      </c>
      <c r="K610" s="7" t="inlineStr">
        <is>
          <t>5.5 %</t>
        </is>
      </c>
      <c r="L610" s="8" t="n">
        <v>4.5</v>
      </c>
      <c r="M610" s="9" t="n">
        <v>9.9</v>
      </c>
      <c r="N610" s="10" t="inlineStr">
        <is>
          <t>PROPOSÉ</t>
        </is>
      </c>
      <c r="O610" s="11">
        <f>IF(M610="","",M610-L610)</f>
        <v/>
      </c>
      <c r="P610" s="12">
        <f>IF(OR(M610="",M610=0),"",(M610-L610)/M610)</f>
        <v/>
      </c>
      <c r="Q610" s="13">
        <f>IF(OR(M610="",L610=0,L610=""),"",M610/L610)</f>
        <v/>
      </c>
      <c r="R610" s="11">
        <f>IF(M610="","",M610*1.055)</f>
        <v/>
      </c>
      <c r="S610" s="14" t="n"/>
      <c r="T610" s="15" t="n"/>
    </row>
    <row r="611">
      <c r="A611" s="16" t="inlineStr">
        <is>
          <t>PROD-0183</t>
        </is>
      </c>
      <c r="B611" s="16" t="inlineStr">
        <is>
          <t>Rillettes de saumon 140 grs</t>
        </is>
      </c>
      <c r="C611" s="16" t="inlineStr">
        <is>
          <t>TRAITEUR_MER</t>
        </is>
      </c>
      <c r="D611" s="16" t="inlineStr">
        <is>
          <t>PRODUIT_DE_LA_MER</t>
        </is>
      </c>
      <c r="E611" s="16" t="inlineStr">
        <is>
          <t>ESSENTIEL</t>
        </is>
      </c>
      <c r="F611" s="16" t="inlineStr">
        <is>
          <t>MAISON SAINT LO</t>
        </is>
      </c>
      <c r="G611" s="16" t="inlineStr">
        <is>
          <t>NORMAND DIRECT TERROIR</t>
        </is>
      </c>
      <c r="H611" s="16" t="inlineStr"/>
      <c r="I611" s="16" t="inlineStr">
        <is>
          <t>140 g</t>
        </is>
      </c>
      <c r="J611" s="16" t="inlineStr">
        <is>
          <t>NON</t>
        </is>
      </c>
      <c r="K611" s="17" t="inlineStr">
        <is>
          <t>5.5 %</t>
        </is>
      </c>
      <c r="L611" s="18" t="n">
        <v>4.5</v>
      </c>
      <c r="M611" s="9" t="n">
        <v>9.9</v>
      </c>
      <c r="N611" s="10" t="inlineStr">
        <is>
          <t>PROPOSÉ</t>
        </is>
      </c>
      <c r="O611" s="11">
        <f>IF(M611="","",M611-L611)</f>
        <v/>
      </c>
      <c r="P611" s="12">
        <f>IF(OR(M611="",M611=0),"",(M611-L611)/M611)</f>
        <v/>
      </c>
      <c r="Q611" s="13">
        <f>IF(OR(M611="",L611=0,L611=""),"",M611/L611)</f>
        <v/>
      </c>
      <c r="R611" s="11">
        <f>IF(M611="","",M611*1.055)</f>
        <v/>
      </c>
      <c r="S611" s="14" t="n"/>
      <c r="T611" s="15" t="n"/>
    </row>
    <row r="612">
      <c r="A612" s="6" t="inlineStr">
        <is>
          <t>PROD-0184</t>
        </is>
      </c>
      <c r="B612" s="6" t="inlineStr">
        <is>
          <t>Rillettes de saumon à l'aneth fraîche 140 grs</t>
        </is>
      </c>
      <c r="C612" s="6" t="inlineStr">
        <is>
          <t>TRAITEUR_MER</t>
        </is>
      </c>
      <c r="D612" s="6" t="inlineStr">
        <is>
          <t>PRODUIT_DE_LA_MER</t>
        </is>
      </c>
      <c r="E612" s="6" t="inlineStr">
        <is>
          <t>ESSENTIEL</t>
        </is>
      </c>
      <c r="F612" s="6" t="inlineStr">
        <is>
          <t>MAISON SAINT LO</t>
        </is>
      </c>
      <c r="G612" s="6" t="inlineStr">
        <is>
          <t>NORMAND DIRECT TERROIR</t>
        </is>
      </c>
      <c r="H612" s="6" t="inlineStr"/>
      <c r="I612" s="6" t="inlineStr">
        <is>
          <t>140 g</t>
        </is>
      </c>
      <c r="J612" s="6" t="inlineStr">
        <is>
          <t>NON</t>
        </is>
      </c>
      <c r="K612" s="7" t="inlineStr">
        <is>
          <t>5.5 %</t>
        </is>
      </c>
      <c r="L612" s="8" t="n">
        <v>4.5</v>
      </c>
      <c r="M612" s="9" t="n">
        <v>9.9</v>
      </c>
      <c r="N612" s="10" t="inlineStr">
        <is>
          <t>PROPOSÉ</t>
        </is>
      </c>
      <c r="O612" s="11">
        <f>IF(M612="","",M612-L612)</f>
        <v/>
      </c>
      <c r="P612" s="12">
        <f>IF(OR(M612="",M612=0),"",(M612-L612)/M612)</f>
        <v/>
      </c>
      <c r="Q612" s="13">
        <f>IF(OR(M612="",L612=0,L612=""),"",M612/L612)</f>
        <v/>
      </c>
      <c r="R612" s="11">
        <f>IF(M612="","",M612*1.055)</f>
        <v/>
      </c>
      <c r="S612" s="14" t="n"/>
      <c r="T612" s="15" t="n"/>
    </row>
    <row r="613">
      <c r="A613" s="16" t="inlineStr">
        <is>
          <t>PROD-0185</t>
        </is>
      </c>
      <c r="B613" s="16" t="inlineStr">
        <is>
          <t>Rillettes de saumon au camembert 140 grs</t>
        </is>
      </c>
      <c r="C613" s="16" t="inlineStr">
        <is>
          <t>TRAITEUR_MER</t>
        </is>
      </c>
      <c r="D613" s="16" t="inlineStr">
        <is>
          <t>PRODUIT_DE_LA_MER</t>
        </is>
      </c>
      <c r="E613" s="16" t="inlineStr">
        <is>
          <t>ESSENTIEL</t>
        </is>
      </c>
      <c r="F613" s="16" t="inlineStr">
        <is>
          <t>MAISON SAINT LO</t>
        </is>
      </c>
      <c r="G613" s="16" t="inlineStr">
        <is>
          <t>NORMAND DIRECT TERROIR</t>
        </is>
      </c>
      <c r="H613" s="16" t="inlineStr"/>
      <c r="I613" s="16" t="inlineStr">
        <is>
          <t>140 g</t>
        </is>
      </c>
      <c r="J613" s="16" t="inlineStr">
        <is>
          <t>NON</t>
        </is>
      </c>
      <c r="K613" s="17" t="inlineStr">
        <is>
          <t>5.5 %</t>
        </is>
      </c>
      <c r="L613" s="18" t="n">
        <v>4.5</v>
      </c>
      <c r="M613" s="9" t="n">
        <v>9.9</v>
      </c>
      <c r="N613" s="10" t="inlineStr">
        <is>
          <t>PROPOSÉ</t>
        </is>
      </c>
      <c r="O613" s="11">
        <f>IF(M613="","",M613-L613)</f>
        <v/>
      </c>
      <c r="P613" s="12">
        <f>IF(OR(M613="",M613=0),"",(M613-L613)/M613)</f>
        <v/>
      </c>
      <c r="Q613" s="13">
        <f>IF(OR(M613="",L613=0,L613=""),"",M613/L613)</f>
        <v/>
      </c>
      <c r="R613" s="11">
        <f>IF(M613="","",M613*1.055)</f>
        <v/>
      </c>
      <c r="S613" s="14" t="n"/>
      <c r="T613" s="15" t="n"/>
    </row>
    <row r="614">
      <c r="A614" s="6" t="inlineStr">
        <is>
          <t>PROD-0186</t>
        </is>
      </c>
      <c r="B614" s="6" t="inlineStr">
        <is>
          <t>Rillettes de truite 140 grs</t>
        </is>
      </c>
      <c r="C614" s="6" t="inlineStr">
        <is>
          <t>TRAITEUR_MER</t>
        </is>
      </c>
      <c r="D614" s="6" t="inlineStr">
        <is>
          <t>PRODUIT_DE_LA_MER</t>
        </is>
      </c>
      <c r="E614" s="6" t="inlineStr">
        <is>
          <t>ESSENTIEL</t>
        </is>
      </c>
      <c r="F614" s="6" t="inlineStr">
        <is>
          <t>MAISON SAINT LO</t>
        </is>
      </c>
      <c r="G614" s="6" t="inlineStr">
        <is>
          <t>NORMAND DIRECT TERROIR</t>
        </is>
      </c>
      <c r="H614" s="6" t="inlineStr"/>
      <c r="I614" s="6" t="inlineStr">
        <is>
          <t>140 g</t>
        </is>
      </c>
      <c r="J614" s="6" t="inlineStr">
        <is>
          <t>NON</t>
        </is>
      </c>
      <c r="K614" s="7" t="inlineStr">
        <is>
          <t>5.5 %</t>
        </is>
      </c>
      <c r="L614" s="8" t="n">
        <v>4.5</v>
      </c>
      <c r="M614" s="9" t="n">
        <v>9.9</v>
      </c>
      <c r="N614" s="10" t="inlineStr">
        <is>
          <t>PROPOSÉ</t>
        </is>
      </c>
      <c r="O614" s="11">
        <f>IF(M614="","",M614-L614)</f>
        <v/>
      </c>
      <c r="P614" s="12">
        <f>IF(OR(M614="",M614=0),"",(M614-L614)/M614)</f>
        <v/>
      </c>
      <c r="Q614" s="13">
        <f>IF(OR(M614="",L614=0,L614=""),"",M614/L614)</f>
        <v/>
      </c>
      <c r="R614" s="11">
        <f>IF(M614="","",M614*1.055)</f>
        <v/>
      </c>
      <c r="S614" s="14" t="n"/>
      <c r="T614" s="15" t="n"/>
    </row>
    <row r="615">
      <c r="A615" s="16" t="inlineStr">
        <is>
          <t>PROD-0188</t>
        </is>
      </c>
      <c r="B615" s="16" t="inlineStr">
        <is>
          <t>Rillettes de truite à l'aneth fraîche 140 grs</t>
        </is>
      </c>
      <c r="C615" s="16" t="inlineStr">
        <is>
          <t>TRAITEUR_MER</t>
        </is>
      </c>
      <c r="D615" s="16" t="inlineStr">
        <is>
          <t>PRODUIT_DE_LA_MER</t>
        </is>
      </c>
      <c r="E615" s="16" t="inlineStr">
        <is>
          <t>ESSENTIEL</t>
        </is>
      </c>
      <c r="F615" s="16" t="inlineStr">
        <is>
          <t>MAISON SAINT LO</t>
        </is>
      </c>
      <c r="G615" s="16" t="inlineStr">
        <is>
          <t>NORMAND DIRECT TERROIR</t>
        </is>
      </c>
      <c r="H615" s="16" t="inlineStr"/>
      <c r="I615" s="16" t="inlineStr">
        <is>
          <t>140 g</t>
        </is>
      </c>
      <c r="J615" s="16" t="inlineStr">
        <is>
          <t>NON</t>
        </is>
      </c>
      <c r="K615" s="17" t="inlineStr">
        <is>
          <t>5.5 %</t>
        </is>
      </c>
      <c r="L615" s="18" t="n">
        <v>4.5</v>
      </c>
      <c r="M615" s="9" t="n">
        <v>9.9</v>
      </c>
      <c r="N615" s="10" t="inlineStr">
        <is>
          <t>PROPOSÉ</t>
        </is>
      </c>
      <c r="O615" s="11">
        <f>IF(M615="","",M615-L615)</f>
        <v/>
      </c>
      <c r="P615" s="12">
        <f>IF(OR(M615="",M615=0),"",(M615-L615)/M615)</f>
        <v/>
      </c>
      <c r="Q615" s="13">
        <f>IF(OR(M615="",L615=0,L615=""),"",M615/L615)</f>
        <v/>
      </c>
      <c r="R615" s="11">
        <f>IF(M615="","",M615*1.055)</f>
        <v/>
      </c>
      <c r="S615" s="14" t="n"/>
      <c r="T615" s="15" t="n"/>
    </row>
    <row r="616">
      <c r="A616" s="6" t="inlineStr">
        <is>
          <t>PROD-0189</t>
        </is>
      </c>
      <c r="B616" s="6" t="inlineStr">
        <is>
          <t>Rillettes saumon curry 140 grs</t>
        </is>
      </c>
      <c r="C616" s="6" t="inlineStr">
        <is>
          <t>TRAITEUR_MER</t>
        </is>
      </c>
      <c r="D616" s="6" t="inlineStr">
        <is>
          <t>PRODUIT_DE_LA_MER</t>
        </is>
      </c>
      <c r="E616" s="6" t="inlineStr">
        <is>
          <t>ESSENTIEL</t>
        </is>
      </c>
      <c r="F616" s="6" t="inlineStr">
        <is>
          <t>MAISON SAINT LO</t>
        </is>
      </c>
      <c r="G616" s="6" t="inlineStr">
        <is>
          <t>NORMAND DIRECT TERROIR</t>
        </is>
      </c>
      <c r="H616" s="6" t="inlineStr"/>
      <c r="I616" s="6" t="inlineStr">
        <is>
          <t>140 g</t>
        </is>
      </c>
      <c r="J616" s="6" t="inlineStr">
        <is>
          <t>NON</t>
        </is>
      </c>
      <c r="K616" s="7" t="inlineStr">
        <is>
          <t>5.5 %</t>
        </is>
      </c>
      <c r="L616" s="8" t="n">
        <v>4.5</v>
      </c>
      <c r="M616" s="9" t="n">
        <v>9.9</v>
      </c>
      <c r="N616" s="10" t="inlineStr">
        <is>
          <t>PROPOSÉ</t>
        </is>
      </c>
      <c r="O616" s="11">
        <f>IF(M616="","",M616-L616)</f>
        <v/>
      </c>
      <c r="P616" s="12">
        <f>IF(OR(M616="",M616=0),"",(M616-L616)/M616)</f>
        <v/>
      </c>
      <c r="Q616" s="13">
        <f>IF(OR(M616="",L616=0,L616=""),"",M616/L616)</f>
        <v/>
      </c>
      <c r="R616" s="11">
        <f>IF(M616="","",M616*1.055)</f>
        <v/>
      </c>
      <c r="S616" s="14" t="n"/>
      <c r="T616" s="15" t="n"/>
    </row>
    <row r="617">
      <c r="A617" s="16" t="inlineStr">
        <is>
          <t>PROD-0192</t>
        </is>
      </c>
      <c r="B617" s="16" t="inlineStr">
        <is>
          <t>Rillettes de lotte 90 grs</t>
        </is>
      </c>
      <c r="C617" s="16" t="inlineStr">
        <is>
          <t>TRAITEUR_MER</t>
        </is>
      </c>
      <c r="D617" s="16" t="inlineStr">
        <is>
          <t>PRODUIT_DE_LA_MER</t>
        </is>
      </c>
      <c r="E617" s="16" t="inlineStr">
        <is>
          <t>ESSENTIEL</t>
        </is>
      </c>
      <c r="F617" s="16" t="inlineStr">
        <is>
          <t>MAISON SAINT LO</t>
        </is>
      </c>
      <c r="G617" s="16" t="inlineStr">
        <is>
          <t>NORMAND DIRECT TERROIR</t>
        </is>
      </c>
      <c r="H617" s="16" t="inlineStr"/>
      <c r="I617" s="16" t="inlineStr">
        <is>
          <t>90 g</t>
        </is>
      </c>
      <c r="J617" s="16" t="inlineStr">
        <is>
          <t>NON</t>
        </is>
      </c>
      <c r="K617" s="17" t="inlineStr">
        <is>
          <t>5.5 %</t>
        </is>
      </c>
      <c r="L617" s="18" t="n">
        <v>4.5</v>
      </c>
      <c r="M617" s="9" t="n">
        <v>9.9</v>
      </c>
      <c r="N617" s="10" t="inlineStr">
        <is>
          <t>PROPOSÉ</t>
        </is>
      </c>
      <c r="O617" s="11">
        <f>IF(M617="","",M617-L617)</f>
        <v/>
      </c>
      <c r="P617" s="12">
        <f>IF(OR(M617="",M617=0),"",(M617-L617)/M617)</f>
        <v/>
      </c>
      <c r="Q617" s="13">
        <f>IF(OR(M617="",L617=0,L617=""),"",M617/L617)</f>
        <v/>
      </c>
      <c r="R617" s="11">
        <f>IF(M617="","",M617*1.055)</f>
        <v/>
      </c>
      <c r="S617" s="14" t="n"/>
      <c r="T617" s="15" t="n"/>
    </row>
    <row r="618">
      <c r="A618" s="6" t="inlineStr">
        <is>
          <t>PROD-0193</t>
        </is>
      </c>
      <c r="B618" s="6" t="inlineStr">
        <is>
          <t>Rillettes de lotte au chorizo 90 grs</t>
        </is>
      </c>
      <c r="C618" s="6" t="inlineStr">
        <is>
          <t>TRAITEUR_MER</t>
        </is>
      </c>
      <c r="D618" s="6" t="inlineStr">
        <is>
          <t>PRODUIT_DE_LA_MER</t>
        </is>
      </c>
      <c r="E618" s="6" t="inlineStr">
        <is>
          <t>ESSENTIEL</t>
        </is>
      </c>
      <c r="F618" s="6" t="inlineStr">
        <is>
          <t>MAISON SAINT LO</t>
        </is>
      </c>
      <c r="G618" s="6" t="inlineStr">
        <is>
          <t>NORMAND DIRECT TERROIR</t>
        </is>
      </c>
      <c r="H618" s="6" t="inlineStr"/>
      <c r="I618" s="6" t="inlineStr">
        <is>
          <t>90 g</t>
        </is>
      </c>
      <c r="J618" s="6" t="inlineStr">
        <is>
          <t>NON</t>
        </is>
      </c>
      <c r="K618" s="7" t="inlineStr">
        <is>
          <t>5.5 %</t>
        </is>
      </c>
      <c r="L618" s="8" t="n">
        <v>4.5</v>
      </c>
      <c r="M618" s="9" t="n">
        <v>9.9</v>
      </c>
      <c r="N618" s="10" t="inlineStr">
        <is>
          <t>PROPOSÉ</t>
        </is>
      </c>
      <c r="O618" s="11">
        <f>IF(M618="","",M618-L618)</f>
        <v/>
      </c>
      <c r="P618" s="12">
        <f>IF(OR(M618="",M618=0),"",(M618-L618)/M618)</f>
        <v/>
      </c>
      <c r="Q618" s="13">
        <f>IF(OR(M618="",L618=0,L618=""),"",M618/L618)</f>
        <v/>
      </c>
      <c r="R618" s="11">
        <f>IF(M618="","",M618*1.055)</f>
        <v/>
      </c>
      <c r="S618" s="14" t="n"/>
      <c r="T618" s="15" t="n"/>
    </row>
    <row r="619">
      <c r="A619" s="16" t="inlineStr">
        <is>
          <t>PROD-0194</t>
        </is>
      </c>
      <c r="B619" s="16" t="inlineStr">
        <is>
          <t>Rillettes noix de st jacques pomme miel 85 g</t>
        </is>
      </c>
      <c r="C619" s="16" t="inlineStr">
        <is>
          <t>TRAITEUR_MER</t>
        </is>
      </c>
      <c r="D619" s="16" t="inlineStr">
        <is>
          <t>PRODUIT_DE_LA_MER</t>
        </is>
      </c>
      <c r="E619" s="16" t="inlineStr">
        <is>
          <t>ESSENTIEL</t>
        </is>
      </c>
      <c r="F619" s="16" t="inlineStr">
        <is>
          <t>MAISON SAINT LO</t>
        </is>
      </c>
      <c r="G619" s="16" t="inlineStr">
        <is>
          <t>NORMAND DIRECT TERROIR</t>
        </is>
      </c>
      <c r="H619" s="16" t="inlineStr"/>
      <c r="I619" s="16" t="inlineStr">
        <is>
          <t>85 g</t>
        </is>
      </c>
      <c r="J619" s="16" t="inlineStr">
        <is>
          <t>NON</t>
        </is>
      </c>
      <c r="K619" s="17" t="inlineStr">
        <is>
          <t>5.5 %</t>
        </is>
      </c>
      <c r="L619" s="18" t="n">
        <v>4.5</v>
      </c>
      <c r="M619" s="9" t="n">
        <v>9.9</v>
      </c>
      <c r="N619" s="10" t="inlineStr">
        <is>
          <t>PROPOSÉ</t>
        </is>
      </c>
      <c r="O619" s="11">
        <f>IF(M619="","",M619-L619)</f>
        <v/>
      </c>
      <c r="P619" s="12">
        <f>IF(OR(M619="",M619=0),"",(M619-L619)/M619)</f>
        <v/>
      </c>
      <c r="Q619" s="13">
        <f>IF(OR(M619="",L619=0,L619=""),"",M619/L619)</f>
        <v/>
      </c>
      <c r="R619" s="11">
        <f>IF(M619="","",M619*1.055)</f>
        <v/>
      </c>
      <c r="S619" s="14" t="n"/>
      <c r="T619" s="15" t="n"/>
    </row>
    <row r="620">
      <c r="A620" s="6" t="inlineStr">
        <is>
          <t>PROD-0162</t>
        </is>
      </c>
      <c r="B620" s="6" t="inlineStr">
        <is>
          <t>Choucroute de la mer 320 grs</t>
        </is>
      </c>
      <c r="C620" s="6" t="inlineStr">
        <is>
          <t>TRAITEUR_MER</t>
        </is>
      </c>
      <c r="D620" s="6" t="inlineStr">
        <is>
          <t>SOUPE_ET_BISQUE</t>
        </is>
      </c>
      <c r="E620" s="6" t="inlineStr">
        <is>
          <t>ESSENTIEL</t>
        </is>
      </c>
      <c r="F620" s="6" t="inlineStr">
        <is>
          <t>MAISON SAINT LO</t>
        </is>
      </c>
      <c r="G620" s="6" t="inlineStr">
        <is>
          <t>NORMAND DIRECT TERROIR</t>
        </is>
      </c>
      <c r="H620" s="6" t="inlineStr"/>
      <c r="I620" s="6" t="inlineStr">
        <is>
          <t>320 g</t>
        </is>
      </c>
      <c r="J620" s="6" t="inlineStr">
        <is>
          <t>NON</t>
        </is>
      </c>
      <c r="K620" s="7" t="inlineStr">
        <is>
          <t>5.5 %</t>
        </is>
      </c>
      <c r="L620" s="8" t="n">
        <v>4.2</v>
      </c>
      <c r="M620" s="9" t="n">
        <v>9.199999999999999</v>
      </c>
      <c r="N620" s="10" t="inlineStr">
        <is>
          <t>PROPOSÉ</t>
        </is>
      </c>
      <c r="O620" s="11">
        <f>IF(M620="","",M620-L620)</f>
        <v/>
      </c>
      <c r="P620" s="12">
        <f>IF(OR(M620="",M620=0),"",(M620-L620)/M620)</f>
        <v/>
      </c>
      <c r="Q620" s="13">
        <f>IF(OR(M620="",L620=0,L620=""),"",M620/L620)</f>
        <v/>
      </c>
      <c r="R620" s="11">
        <f>IF(M620="","",M620*1.055)</f>
        <v/>
      </c>
      <c r="S620" s="14" t="n"/>
      <c r="T620" s="15" t="n"/>
    </row>
    <row r="621">
      <c r="A621" s="16" t="inlineStr">
        <is>
          <t>PROD-0163</t>
        </is>
      </c>
      <c r="B621" s="16" t="inlineStr">
        <is>
          <t>Maquereaux marinés 320 g vin blanc</t>
        </is>
      </c>
      <c r="C621" s="16" t="inlineStr">
        <is>
          <t>TRAITEUR_MER</t>
        </is>
      </c>
      <c r="D621" s="16" t="inlineStr">
        <is>
          <t>PRODUIT_DE_LA_MER</t>
        </is>
      </c>
      <c r="E621" s="16" t="inlineStr">
        <is>
          <t>ESSENTIEL</t>
        </is>
      </c>
      <c r="F621" s="16" t="inlineStr">
        <is>
          <t>MAISON SAINT LO</t>
        </is>
      </c>
      <c r="G621" s="16" t="inlineStr">
        <is>
          <t>NORMAND DIRECT TERROIR</t>
        </is>
      </c>
      <c r="H621" s="16" t="inlineStr"/>
      <c r="I621" s="16" t="inlineStr">
        <is>
          <t>320 g</t>
        </is>
      </c>
      <c r="J621" s="16" t="inlineStr">
        <is>
          <t>INGREDIENT_ALCOOLISE</t>
        </is>
      </c>
      <c r="K621" s="17" t="inlineStr">
        <is>
          <t>5.5 %</t>
        </is>
      </c>
      <c r="L621" s="18" t="n">
        <v>4.2</v>
      </c>
      <c r="M621" s="9" t="n">
        <v>9.199999999999999</v>
      </c>
      <c r="N621" s="10" t="inlineStr">
        <is>
          <t>PROPOSÉ</t>
        </is>
      </c>
      <c r="O621" s="11">
        <f>IF(M621="","",M621-L621)</f>
        <v/>
      </c>
      <c r="P621" s="12">
        <f>IF(OR(M621="",M621=0),"",(M621-L621)/M621)</f>
        <v/>
      </c>
      <c r="Q621" s="13">
        <f>IF(OR(M621="",L621=0,L621=""),"",M621/L621)</f>
        <v/>
      </c>
      <c r="R621" s="11">
        <f>IF(M621="","",M621*1.055)</f>
        <v/>
      </c>
      <c r="S621" s="14" t="n"/>
      <c r="T621" s="15" t="n"/>
    </row>
    <row r="622">
      <c r="A622" s="6" t="inlineStr">
        <is>
          <t>PROD-0165</t>
        </is>
      </c>
      <c r="B622" s="6" t="inlineStr">
        <is>
          <t>Maquereaux marinés 320g curry</t>
        </is>
      </c>
      <c r="C622" s="6" t="inlineStr">
        <is>
          <t>TRAITEUR_MER</t>
        </is>
      </c>
      <c r="D622" s="6" t="inlineStr">
        <is>
          <t>PRODUIT_DE_LA_MER</t>
        </is>
      </c>
      <c r="E622" s="6" t="inlineStr">
        <is>
          <t>ESSENTIEL</t>
        </is>
      </c>
      <c r="F622" s="6" t="inlineStr">
        <is>
          <t>MAISON SAINT LO</t>
        </is>
      </c>
      <c r="G622" s="6" t="inlineStr">
        <is>
          <t>NORMAND DIRECT TERROIR</t>
        </is>
      </c>
      <c r="H622" s="6" t="inlineStr"/>
      <c r="I622" s="6" t="inlineStr">
        <is>
          <t>320 g</t>
        </is>
      </c>
      <c r="J622" s="6" t="inlineStr">
        <is>
          <t>NON</t>
        </is>
      </c>
      <c r="K622" s="7" t="inlineStr">
        <is>
          <t>5.5 %</t>
        </is>
      </c>
      <c r="L622" s="8" t="n">
        <v>4.2</v>
      </c>
      <c r="M622" s="9" t="n">
        <v>9.199999999999999</v>
      </c>
      <c r="N622" s="10" t="inlineStr">
        <is>
          <t>PROPOSÉ</t>
        </is>
      </c>
      <c r="O622" s="11">
        <f>IF(M622="","",M622-L622)</f>
        <v/>
      </c>
      <c r="P622" s="12">
        <f>IF(OR(M622="",M622=0),"",(M622-L622)/M622)</f>
        <v/>
      </c>
      <c r="Q622" s="13">
        <f>IF(OR(M622="",L622=0,L622=""),"",M622/L622)</f>
        <v/>
      </c>
      <c r="R622" s="11">
        <f>IF(M622="","",M622*1.055)</f>
        <v/>
      </c>
      <c r="S622" s="14" t="n"/>
      <c r="T622" s="15" t="n"/>
    </row>
    <row r="623">
      <c r="A623" s="16" t="inlineStr">
        <is>
          <t>PROD-0166</t>
        </is>
      </c>
      <c r="B623" s="16" t="inlineStr">
        <is>
          <t>Maquereaux marinés 320g tomate</t>
        </is>
      </c>
      <c r="C623" s="16" t="inlineStr">
        <is>
          <t>TRAITEUR_MER</t>
        </is>
      </c>
      <c r="D623" s="16" t="inlineStr">
        <is>
          <t>PRODUIT_DE_LA_MER</t>
        </is>
      </c>
      <c r="E623" s="16" t="inlineStr">
        <is>
          <t>ESSENTIEL</t>
        </is>
      </c>
      <c r="F623" s="16" t="inlineStr">
        <is>
          <t>MAISON SAINT LO</t>
        </is>
      </c>
      <c r="G623" s="16" t="inlineStr">
        <is>
          <t>NORMAND DIRECT TERROIR</t>
        </is>
      </c>
      <c r="H623" s="16" t="inlineStr"/>
      <c r="I623" s="16" t="inlineStr">
        <is>
          <t>320 g</t>
        </is>
      </c>
      <c r="J623" s="16" t="inlineStr">
        <is>
          <t>NON</t>
        </is>
      </c>
      <c r="K623" s="17" t="inlineStr">
        <is>
          <t>5.5 %</t>
        </is>
      </c>
      <c r="L623" s="18" t="n">
        <v>4.2</v>
      </c>
      <c r="M623" s="9" t="n">
        <v>9.199999999999999</v>
      </c>
      <c r="N623" s="10" t="inlineStr">
        <is>
          <t>PROPOSÉ</t>
        </is>
      </c>
      <c r="O623" s="11">
        <f>IF(M623="","",M623-L623)</f>
        <v/>
      </c>
      <c r="P623" s="12">
        <f>IF(OR(M623="",M623=0),"",(M623-L623)/M623)</f>
        <v/>
      </c>
      <c r="Q623" s="13">
        <f>IF(OR(M623="",L623=0,L623=""),"",M623/L623)</f>
        <v/>
      </c>
      <c r="R623" s="11">
        <f>IF(M623="","",M623*1.055)</f>
        <v/>
      </c>
      <c r="S623" s="14" t="n"/>
      <c r="T623" s="15" t="n"/>
    </row>
    <row r="624">
      <c r="A624" s="6" t="inlineStr">
        <is>
          <t>PROD-0167</t>
        </is>
      </c>
      <c r="B624" s="6" t="inlineStr">
        <is>
          <t>Soupe de saumon fumé 740 ml</t>
        </is>
      </c>
      <c r="C624" s="6" t="inlineStr">
        <is>
          <t>TRAITEUR_MER</t>
        </is>
      </c>
      <c r="D624" s="6" t="inlineStr">
        <is>
          <t>SOUPE_ET_BISQUE</t>
        </is>
      </c>
      <c r="E624" s="6" t="inlineStr">
        <is>
          <t>ESSENTIEL</t>
        </is>
      </c>
      <c r="F624" s="6" t="inlineStr">
        <is>
          <t>MAISON SAINT LO</t>
        </is>
      </c>
      <c r="G624" s="6" t="inlineStr">
        <is>
          <t>NORMAND DIRECT TERROIR</t>
        </is>
      </c>
      <c r="H624" s="6" t="inlineStr"/>
      <c r="I624" s="6" t="inlineStr">
        <is>
          <t>740 ml</t>
        </is>
      </c>
      <c r="J624" s="6" t="inlineStr">
        <is>
          <t>NON</t>
        </is>
      </c>
      <c r="K624" s="7" t="inlineStr">
        <is>
          <t>5.5 %</t>
        </is>
      </c>
      <c r="L624" s="8" t="n">
        <v>4.2</v>
      </c>
      <c r="M624" s="9" t="n">
        <v>9.199999999999999</v>
      </c>
      <c r="N624" s="10" t="inlineStr">
        <is>
          <t>PROPOSÉ</t>
        </is>
      </c>
      <c r="O624" s="11">
        <f>IF(M624="","",M624-L624)</f>
        <v/>
      </c>
      <c r="P624" s="12">
        <f>IF(OR(M624="",M624=0),"",(M624-L624)/M624)</f>
        <v/>
      </c>
      <c r="Q624" s="13">
        <f>IF(OR(M624="",L624=0,L624=""),"",M624/L624)</f>
        <v/>
      </c>
      <c r="R624" s="11">
        <f>IF(M624="","",M624*1.055)</f>
        <v/>
      </c>
      <c r="S624" s="14" t="n"/>
      <c r="T624" s="15" t="n"/>
    </row>
    <row r="625">
      <c r="A625" s="16" t="inlineStr">
        <is>
          <t>PROD-0168</t>
        </is>
      </c>
      <c r="B625" s="16" t="inlineStr">
        <is>
          <t>Soupe de truite fumée 740 ml</t>
        </is>
      </c>
      <c r="C625" s="16" t="inlineStr">
        <is>
          <t>TRAITEUR_MER</t>
        </is>
      </c>
      <c r="D625" s="16" t="inlineStr">
        <is>
          <t>SOUPE_ET_BISQUE</t>
        </is>
      </c>
      <c r="E625" s="16" t="inlineStr">
        <is>
          <t>ESSENTIEL</t>
        </is>
      </c>
      <c r="F625" s="16" t="inlineStr">
        <is>
          <t>MAISON SAINT LO</t>
        </is>
      </c>
      <c r="G625" s="16" t="inlineStr">
        <is>
          <t>NORMAND DIRECT TERROIR</t>
        </is>
      </c>
      <c r="H625" s="16" t="inlineStr"/>
      <c r="I625" s="16" t="inlineStr">
        <is>
          <t>740 ml</t>
        </is>
      </c>
      <c r="J625" s="16" t="inlineStr">
        <is>
          <t>NON</t>
        </is>
      </c>
      <c r="K625" s="17" t="inlineStr">
        <is>
          <t>5.5 %</t>
        </is>
      </c>
      <c r="L625" s="18" t="n">
        <v>4.2</v>
      </c>
      <c r="M625" s="9" t="n">
        <v>9.199999999999999</v>
      </c>
      <c r="N625" s="10" t="inlineStr">
        <is>
          <t>PROPOSÉ</t>
        </is>
      </c>
      <c r="O625" s="11">
        <f>IF(M625="","",M625-L625)</f>
        <v/>
      </c>
      <c r="P625" s="12">
        <f>IF(OR(M625="",M625=0),"",(M625-L625)/M625)</f>
        <v/>
      </c>
      <c r="Q625" s="13">
        <f>IF(OR(M625="",L625=0,L625=""),"",M625/L625)</f>
        <v/>
      </c>
      <c r="R625" s="11">
        <f>IF(M625="","",M625*1.055)</f>
        <v/>
      </c>
      <c r="S625" s="14" t="n"/>
      <c r="T625" s="15" t="n"/>
    </row>
    <row r="626">
      <c r="A626" s="6" t="inlineStr">
        <is>
          <t>PROD-0169</t>
        </is>
      </c>
      <c r="B626" s="6" t="inlineStr">
        <is>
          <t>Velouté de saumon 740 ml</t>
        </is>
      </c>
      <c r="C626" s="6" t="inlineStr">
        <is>
          <t>TRAITEUR_MER</t>
        </is>
      </c>
      <c r="D626" s="6" t="inlineStr">
        <is>
          <t>SOUPE_ET_BISQUE</t>
        </is>
      </c>
      <c r="E626" s="6" t="inlineStr">
        <is>
          <t>ESSENTIEL</t>
        </is>
      </c>
      <c r="F626" s="6" t="inlineStr">
        <is>
          <t>MAISON SAINT LO</t>
        </is>
      </c>
      <c r="G626" s="6" t="inlineStr">
        <is>
          <t>NORMAND DIRECT TERROIR</t>
        </is>
      </c>
      <c r="H626" s="6" t="inlineStr"/>
      <c r="I626" s="6" t="inlineStr">
        <is>
          <t>740 ml</t>
        </is>
      </c>
      <c r="J626" s="6" t="inlineStr">
        <is>
          <t>NON</t>
        </is>
      </c>
      <c r="K626" s="7" t="inlineStr">
        <is>
          <t>5.5 %</t>
        </is>
      </c>
      <c r="L626" s="8" t="n">
        <v>4.2</v>
      </c>
      <c r="M626" s="9" t="n">
        <v>9.199999999999999</v>
      </c>
      <c r="N626" s="10" t="inlineStr">
        <is>
          <t>PROPOSÉ</t>
        </is>
      </c>
      <c r="O626" s="11">
        <f>IF(M626="","",M626-L626)</f>
        <v/>
      </c>
      <c r="P626" s="12">
        <f>IF(OR(M626="",M626=0),"",(M626-L626)/M626)</f>
        <v/>
      </c>
      <c r="Q626" s="13">
        <f>IF(OR(M626="",L626=0,L626=""),"",M626/L626)</f>
        <v/>
      </c>
      <c r="R626" s="11">
        <f>IF(M626="","",M626*1.055)</f>
        <v/>
      </c>
      <c r="S626" s="14" t="n"/>
      <c r="T626" s="15" t="n"/>
    </row>
    <row r="627">
      <c r="A627" s="16" t="inlineStr">
        <is>
          <t>PROD-0170</t>
        </is>
      </c>
      <c r="B627" s="16" t="inlineStr">
        <is>
          <t>Velouté de truite 740 ml</t>
        </is>
      </c>
      <c r="C627" s="16" t="inlineStr">
        <is>
          <t>TRAITEUR_MER</t>
        </is>
      </c>
      <c r="D627" s="16" t="inlineStr">
        <is>
          <t>SOUPE_ET_BISQUE</t>
        </is>
      </c>
      <c r="E627" s="16" t="inlineStr">
        <is>
          <t>ESSENTIEL</t>
        </is>
      </c>
      <c r="F627" s="16" t="inlineStr">
        <is>
          <t>MAISON SAINT LO</t>
        </is>
      </c>
      <c r="G627" s="16" t="inlineStr">
        <is>
          <t>NORMAND DIRECT TERROIR</t>
        </is>
      </c>
      <c r="H627" s="16" t="inlineStr"/>
      <c r="I627" s="16" t="inlineStr">
        <is>
          <t>740 ml</t>
        </is>
      </c>
      <c r="J627" s="16" t="inlineStr">
        <is>
          <t>NON</t>
        </is>
      </c>
      <c r="K627" s="17" t="inlineStr">
        <is>
          <t>5.5 %</t>
        </is>
      </c>
      <c r="L627" s="18" t="n">
        <v>4.2</v>
      </c>
      <c r="M627" s="9" t="n">
        <v>9.199999999999999</v>
      </c>
      <c r="N627" s="10" t="inlineStr">
        <is>
          <t>PROPOSÉ</t>
        </is>
      </c>
      <c r="O627" s="11">
        <f>IF(M627="","",M627-L627)</f>
        <v/>
      </c>
      <c r="P627" s="12">
        <f>IF(OR(M627="",M627=0),"",(M627-L627)/M627)</f>
        <v/>
      </c>
      <c r="Q627" s="13">
        <f>IF(OR(M627="",L627=0,L627=""),"",M627/L627)</f>
        <v/>
      </c>
      <c r="R627" s="11">
        <f>IF(M627="","",M627*1.055)</f>
        <v/>
      </c>
      <c r="S627" s="14" t="n"/>
      <c r="T627" s="15" t="n"/>
    </row>
    <row r="628">
      <c r="A628" s="6" t="inlineStr">
        <is>
          <t>PROD-0171</t>
        </is>
      </c>
      <c r="B628" s="6" t="inlineStr">
        <is>
          <t>Soupe de poisson 740 ml</t>
        </is>
      </c>
      <c r="C628" s="6" t="inlineStr">
        <is>
          <t>TRAITEUR_MER</t>
        </is>
      </c>
      <c r="D628" s="6" t="inlineStr">
        <is>
          <t>SOUPE_ET_BISQUE</t>
        </is>
      </c>
      <c r="E628" s="6" t="inlineStr">
        <is>
          <t>ESSENTIEL</t>
        </is>
      </c>
      <c r="F628" s="6" t="inlineStr">
        <is>
          <t>MAISON SAINT LO</t>
        </is>
      </c>
      <c r="G628" s="6" t="inlineStr">
        <is>
          <t>NORMAND DIRECT TERROIR</t>
        </is>
      </c>
      <c r="H628" s="6" t="inlineStr"/>
      <c r="I628" s="6" t="inlineStr">
        <is>
          <t>740 ml</t>
        </is>
      </c>
      <c r="J628" s="6" t="inlineStr">
        <is>
          <t>NON</t>
        </is>
      </c>
      <c r="K628" s="7" t="inlineStr">
        <is>
          <t>5.5 %</t>
        </is>
      </c>
      <c r="L628" s="8" t="n">
        <v>4.2</v>
      </c>
      <c r="M628" s="9" t="n">
        <v>9.199999999999999</v>
      </c>
      <c r="N628" s="10" t="inlineStr">
        <is>
          <t>PROPOSÉ</t>
        </is>
      </c>
      <c r="O628" s="11">
        <f>IF(M628="","",M628-L628)</f>
        <v/>
      </c>
      <c r="P628" s="12">
        <f>IF(OR(M628="",M628=0),"",(M628-L628)/M628)</f>
        <v/>
      </c>
      <c r="Q628" s="13">
        <f>IF(OR(M628="",L628=0,L628=""),"",M628/L628)</f>
        <v/>
      </c>
      <c r="R628" s="11">
        <f>IF(M628="","",M628*1.055)</f>
        <v/>
      </c>
      <c r="S628" s="14" t="n"/>
      <c r="T628" s="15" t="n"/>
    </row>
    <row r="629">
      <c r="A629" s="16" t="inlineStr">
        <is>
          <t>PROD-0128</t>
        </is>
      </c>
      <c r="B629" s="16" t="inlineStr">
        <is>
          <t>Soupe d'étrilles 1 litre</t>
        </is>
      </c>
      <c r="C629" s="16" t="inlineStr">
        <is>
          <t>TRAITEUR_MER</t>
        </is>
      </c>
      <c r="D629" s="16" t="inlineStr">
        <is>
          <t>SOUPE_ET_BISQUE</t>
        </is>
      </c>
      <c r="E629" s="16" t="inlineStr">
        <is>
          <t>ESSENTIEL</t>
        </is>
      </c>
      <c r="F629" s="16" t="inlineStr">
        <is>
          <t>PÈRE ROUPSARD TRAITEUR</t>
        </is>
      </c>
      <c r="G629" s="16" t="inlineStr">
        <is>
          <t>NORMAND DIRECT TERROIR</t>
        </is>
      </c>
      <c r="H629" s="16" t="inlineStr"/>
      <c r="I629" s="16" t="inlineStr">
        <is>
          <t>1000 ml</t>
        </is>
      </c>
      <c r="J629" s="16" t="inlineStr">
        <is>
          <t>NON</t>
        </is>
      </c>
      <c r="K629" s="17" t="inlineStr">
        <is>
          <t>5.5 %</t>
        </is>
      </c>
      <c r="L629" s="18" t="n">
        <v>4.05</v>
      </c>
      <c r="M629" s="9" t="n">
        <v>8.9</v>
      </c>
      <c r="N629" s="10" t="inlineStr">
        <is>
          <t>PROPOSÉ</t>
        </is>
      </c>
      <c r="O629" s="11">
        <f>IF(M629="","",M629-L629)</f>
        <v/>
      </c>
      <c r="P629" s="12">
        <f>IF(OR(M629="",M629=0),"",(M629-L629)/M629)</f>
        <v/>
      </c>
      <c r="Q629" s="13">
        <f>IF(OR(M629="",L629=0,L629=""),"",M629/L629)</f>
        <v/>
      </c>
      <c r="R629" s="11">
        <f>IF(M629="","",M629*1.055)</f>
        <v/>
      </c>
      <c r="S629" s="14" t="n"/>
      <c r="T629" s="15" t="n"/>
    </row>
    <row r="630">
      <c r="A630" s="6" t="inlineStr">
        <is>
          <t>PROD-0130</t>
        </is>
      </c>
      <c r="B630" s="6" t="inlineStr">
        <is>
          <t>Soupe de langoustines 1 litre</t>
        </is>
      </c>
      <c r="C630" s="6" t="inlineStr">
        <is>
          <t>TRAITEUR_MER</t>
        </is>
      </c>
      <c r="D630" s="6" t="inlineStr">
        <is>
          <t>SOUPE_ET_BISQUE</t>
        </is>
      </c>
      <c r="E630" s="6" t="inlineStr">
        <is>
          <t>ESSENTIEL</t>
        </is>
      </c>
      <c r="F630" s="6" t="inlineStr">
        <is>
          <t>PÈRE ROUPSARD TRAITEUR</t>
        </is>
      </c>
      <c r="G630" s="6" t="inlineStr">
        <is>
          <t>NORMAND DIRECT TERROIR</t>
        </is>
      </c>
      <c r="H630" s="6" t="inlineStr"/>
      <c r="I630" s="6" t="inlineStr">
        <is>
          <t>1000 ml</t>
        </is>
      </c>
      <c r="J630" s="6" t="inlineStr">
        <is>
          <t>NON</t>
        </is>
      </c>
      <c r="K630" s="7" t="inlineStr">
        <is>
          <t>5.5 %</t>
        </is>
      </c>
      <c r="L630" s="8" t="n">
        <v>4.05</v>
      </c>
      <c r="M630" s="9" t="n">
        <v>8.9</v>
      </c>
      <c r="N630" s="10" t="inlineStr">
        <is>
          <t>PROPOSÉ</t>
        </is>
      </c>
      <c r="O630" s="11">
        <f>IF(M630="","",M630-L630)</f>
        <v/>
      </c>
      <c r="P630" s="12">
        <f>IF(OR(M630="",M630=0),"",(M630-L630)/M630)</f>
        <v/>
      </c>
      <c r="Q630" s="13">
        <f>IF(OR(M630="",L630=0,L630=""),"",M630/L630)</f>
        <v/>
      </c>
      <c r="R630" s="11">
        <f>IF(M630="","",M630*1.055)</f>
        <v/>
      </c>
      <c r="S630" s="14" t="n"/>
      <c r="T630" s="15" t="n"/>
    </row>
    <row r="631">
      <c r="A631" s="16" t="inlineStr">
        <is>
          <t>PROD-0153</t>
        </is>
      </c>
      <c r="B631" s="16" t="inlineStr">
        <is>
          <t>St jacques foie gras 90 grs</t>
        </is>
      </c>
      <c r="C631" s="16" t="inlineStr">
        <is>
          <t>TRAITEUR_MER</t>
        </is>
      </c>
      <c r="D631" s="16" t="inlineStr">
        <is>
          <t>PRODUIT_DE_LA_MER</t>
        </is>
      </c>
      <c r="E631" s="16" t="inlineStr">
        <is>
          <t>ESSENTIEL</t>
        </is>
      </c>
      <c r="F631" s="16" t="inlineStr">
        <is>
          <t>LES DINATOIRES DU PÈRE ROUPSARD</t>
        </is>
      </c>
      <c r="G631" s="16" t="inlineStr">
        <is>
          <t>NORMAND DIRECT TERROIR</t>
        </is>
      </c>
      <c r="H631" s="16" t="inlineStr"/>
      <c r="I631" s="16" t="inlineStr">
        <is>
          <t>90 g</t>
        </is>
      </c>
      <c r="J631" s="16" t="inlineStr">
        <is>
          <t>NON</t>
        </is>
      </c>
      <c r="K631" s="17" t="inlineStr">
        <is>
          <t>5.5 %</t>
        </is>
      </c>
      <c r="L631" s="18" t="n">
        <v>4</v>
      </c>
      <c r="M631" s="9" t="n">
        <v>8.800000000000001</v>
      </c>
      <c r="N631" s="10" t="inlineStr">
        <is>
          <t>PROPOSÉ</t>
        </is>
      </c>
      <c r="O631" s="11">
        <f>IF(M631="","",M631-L631)</f>
        <v/>
      </c>
      <c r="P631" s="12">
        <f>IF(OR(M631="",M631=0),"",(M631-L631)/M631)</f>
        <v/>
      </c>
      <c r="Q631" s="13">
        <f>IF(OR(M631="",L631=0,L631=""),"",M631/L631)</f>
        <v/>
      </c>
      <c r="R631" s="11">
        <f>IF(M631="","",M631*1.055)</f>
        <v/>
      </c>
      <c r="S631" s="14" t="n"/>
      <c r="T631" s="15" t="n"/>
    </row>
    <row r="632">
      <c r="A632" s="6" t="inlineStr">
        <is>
          <t>PROD-0155</t>
        </is>
      </c>
      <c r="B632" s="6" t="inlineStr">
        <is>
          <t>Saumon  oseille 90 grs</t>
        </is>
      </c>
      <c r="C632" s="6" t="inlineStr">
        <is>
          <t>TRAITEUR_MER</t>
        </is>
      </c>
      <c r="D632" s="6" t="inlineStr">
        <is>
          <t>PRODUIT_DE_LA_MER</t>
        </is>
      </c>
      <c r="E632" s="6" t="inlineStr">
        <is>
          <t>ESSENTIEL</t>
        </is>
      </c>
      <c r="F632" s="6" t="inlineStr">
        <is>
          <t>LES DINATOIRES DU PÈRE ROUPSARD</t>
        </is>
      </c>
      <c r="G632" s="6" t="inlineStr">
        <is>
          <t>NORMAND DIRECT TERROIR</t>
        </is>
      </c>
      <c r="H632" s="6" t="inlineStr"/>
      <c r="I632" s="6" t="inlineStr">
        <is>
          <t>90 g</t>
        </is>
      </c>
      <c r="J632" s="6" t="inlineStr">
        <is>
          <t>NON</t>
        </is>
      </c>
      <c r="K632" s="7" t="inlineStr">
        <is>
          <t>5.5 %</t>
        </is>
      </c>
      <c r="L632" s="8" t="n">
        <v>4</v>
      </c>
      <c r="M632" s="9" t="n">
        <v>8.800000000000001</v>
      </c>
      <c r="N632" s="10" t="inlineStr">
        <is>
          <t>PROPOSÉ</t>
        </is>
      </c>
      <c r="O632" s="11">
        <f>IF(M632="","",M632-L632)</f>
        <v/>
      </c>
      <c r="P632" s="12">
        <f>IF(OR(M632="",M632=0),"",(M632-L632)/M632)</f>
        <v/>
      </c>
      <c r="Q632" s="13">
        <f>IF(OR(M632="",L632=0,L632=""),"",M632/L632)</f>
        <v/>
      </c>
      <c r="R632" s="11">
        <f>IF(M632="","",M632*1.055)</f>
        <v/>
      </c>
      <c r="S632" s="14" t="n"/>
      <c r="T632" s="15" t="n"/>
    </row>
    <row r="633">
      <c r="A633" s="16" t="inlineStr">
        <is>
          <t>PROD-0156</t>
        </is>
      </c>
      <c r="B633" s="16" t="inlineStr">
        <is>
          <t>Lotte jambon fumé 90 grs</t>
        </is>
      </c>
      <c r="C633" s="16" t="inlineStr">
        <is>
          <t>TRAITEUR_MER</t>
        </is>
      </c>
      <c r="D633" s="16" t="inlineStr">
        <is>
          <t>PRODUIT_DE_LA_MER</t>
        </is>
      </c>
      <c r="E633" s="16" t="inlineStr">
        <is>
          <t>ESSENTIEL</t>
        </is>
      </c>
      <c r="F633" s="16" t="inlineStr">
        <is>
          <t>LES DINATOIRES DU PÈRE ROUPSARD</t>
        </is>
      </c>
      <c r="G633" s="16" t="inlineStr">
        <is>
          <t>NORMAND DIRECT TERROIR</t>
        </is>
      </c>
      <c r="H633" s="16" t="inlineStr"/>
      <c r="I633" s="16" t="inlineStr">
        <is>
          <t>90 g</t>
        </is>
      </c>
      <c r="J633" s="16" t="inlineStr">
        <is>
          <t>NON</t>
        </is>
      </c>
      <c r="K633" s="17" t="inlineStr">
        <is>
          <t>5.5 %</t>
        </is>
      </c>
      <c r="L633" s="18" t="n">
        <v>4</v>
      </c>
      <c r="M633" s="9" t="n">
        <v>8.800000000000001</v>
      </c>
      <c r="N633" s="10" t="inlineStr">
        <is>
          <t>PROPOSÉ</t>
        </is>
      </c>
      <c r="O633" s="11">
        <f>IF(M633="","",M633-L633)</f>
        <v/>
      </c>
      <c r="P633" s="12">
        <f>IF(OR(M633="",M633=0),"",(M633-L633)/M633)</f>
        <v/>
      </c>
      <c r="Q633" s="13">
        <f>IF(OR(M633="",L633=0,L633=""),"",M633/L633)</f>
        <v/>
      </c>
      <c r="R633" s="11">
        <f>IF(M633="","",M633*1.055)</f>
        <v/>
      </c>
      <c r="S633" s="14" t="n"/>
      <c r="T633" s="15" t="n"/>
    </row>
    <row r="634">
      <c r="A634" s="6" t="inlineStr">
        <is>
          <t>PROD-0195</t>
        </is>
      </c>
      <c r="B634" s="6" t="inlineStr">
        <is>
          <t>Rillettes de truite fumée au safran 90 g</t>
        </is>
      </c>
      <c r="C634" s="6" t="inlineStr">
        <is>
          <t>TRAITEUR_MER</t>
        </is>
      </c>
      <c r="D634" s="6" t="inlineStr">
        <is>
          <t>PRODUIT_DE_LA_MER</t>
        </is>
      </c>
      <c r="E634" s="6" t="inlineStr">
        <is>
          <t>ESSENTIEL</t>
        </is>
      </c>
      <c r="F634" s="6" t="inlineStr">
        <is>
          <t>MAISON SAINT LO</t>
        </is>
      </c>
      <c r="G634" s="6" t="inlineStr">
        <is>
          <t>NORMAND DIRECT TERROIR</t>
        </is>
      </c>
      <c r="H634" s="6" t="inlineStr"/>
      <c r="I634" s="6" t="inlineStr">
        <is>
          <t>90 g</t>
        </is>
      </c>
      <c r="J634" s="6" t="inlineStr">
        <is>
          <t>NON</t>
        </is>
      </c>
      <c r="K634" s="7" t="inlineStr">
        <is>
          <t>5.5 %</t>
        </is>
      </c>
      <c r="L634" s="8" t="n">
        <v>3.8</v>
      </c>
      <c r="M634" s="9" t="n">
        <v>8.4</v>
      </c>
      <c r="N634" s="10" t="inlineStr">
        <is>
          <t>PROPOSÉ</t>
        </is>
      </c>
      <c r="O634" s="11">
        <f>IF(M634="","",M634-L634)</f>
        <v/>
      </c>
      <c r="P634" s="12">
        <f>IF(OR(M634="",M634=0),"",(M634-L634)/M634)</f>
        <v/>
      </c>
      <c r="Q634" s="13">
        <f>IF(OR(M634="",L634=0,L634=""),"",M634/L634)</f>
        <v/>
      </c>
      <c r="R634" s="11">
        <f>IF(M634="","",M634*1.055)</f>
        <v/>
      </c>
      <c r="S634" s="14" t="n"/>
      <c r="T634" s="15" t="n"/>
    </row>
    <row r="635">
      <c r="A635" s="16" t="inlineStr">
        <is>
          <t>PROD-0127</t>
        </is>
      </c>
      <c r="B635" s="16" t="inlineStr">
        <is>
          <t>Velouté de homard 50 cl</t>
        </is>
      </c>
      <c r="C635" s="16" t="inlineStr">
        <is>
          <t>TRAITEUR_MER</t>
        </is>
      </c>
      <c r="D635" s="16" t="inlineStr">
        <is>
          <t>SOUPE_ET_BISQUE</t>
        </is>
      </c>
      <c r="E635" s="16" t="inlineStr">
        <is>
          <t>ESSENTIEL</t>
        </is>
      </c>
      <c r="F635" s="16" t="inlineStr">
        <is>
          <t>PÈRE ROUPSARD TRAITEUR</t>
        </is>
      </c>
      <c r="G635" s="16" t="inlineStr">
        <is>
          <t>NORMAND DIRECT TERROIR</t>
        </is>
      </c>
      <c r="H635" s="16" t="inlineStr"/>
      <c r="I635" s="16" t="inlineStr">
        <is>
          <t>500 ml</t>
        </is>
      </c>
      <c r="J635" s="16" t="inlineStr">
        <is>
          <t>NON</t>
        </is>
      </c>
      <c r="K635" s="17" t="inlineStr">
        <is>
          <t>5.5 %</t>
        </is>
      </c>
      <c r="L635" s="18" t="n">
        <v>3.68</v>
      </c>
      <c r="M635" s="9" t="n">
        <v>8.1</v>
      </c>
      <c r="N635" s="10" t="inlineStr">
        <is>
          <t>PROPOSÉ</t>
        </is>
      </c>
      <c r="O635" s="11">
        <f>IF(M635="","",M635-L635)</f>
        <v/>
      </c>
      <c r="P635" s="12">
        <f>IF(OR(M635="",M635=0),"",(M635-L635)/M635)</f>
        <v/>
      </c>
      <c r="Q635" s="13">
        <f>IF(OR(M635="",L635=0,L635=""),"",M635/L635)</f>
        <v/>
      </c>
      <c r="R635" s="11">
        <f>IF(M635="","",M635*1.055)</f>
        <v/>
      </c>
      <c r="S635" s="14" t="n"/>
      <c r="T635" s="15" t="n"/>
    </row>
    <row r="636">
      <c r="A636" s="6" t="inlineStr">
        <is>
          <t>PROD-0172</t>
        </is>
      </c>
      <c r="B636" s="6" t="inlineStr">
        <is>
          <t>Soupe de saumon fumé  480 ml</t>
        </is>
      </c>
      <c r="C636" s="6" t="inlineStr">
        <is>
          <t>TRAITEUR_MER</t>
        </is>
      </c>
      <c r="D636" s="6" t="inlineStr">
        <is>
          <t>SOUPE_ET_BISQUE</t>
        </is>
      </c>
      <c r="E636" s="6" t="inlineStr">
        <is>
          <t>ESSENTIEL</t>
        </is>
      </c>
      <c r="F636" s="6" t="inlineStr">
        <is>
          <t>MAISON SAINT LO</t>
        </is>
      </c>
      <c r="G636" s="6" t="inlineStr">
        <is>
          <t>NORMAND DIRECT TERROIR</t>
        </is>
      </c>
      <c r="H636" s="6" t="inlineStr"/>
      <c r="I636" s="6" t="inlineStr">
        <is>
          <t>480 ml</t>
        </is>
      </c>
      <c r="J636" s="6" t="inlineStr">
        <is>
          <t>NON</t>
        </is>
      </c>
      <c r="K636" s="7" t="inlineStr">
        <is>
          <t>5.5 %</t>
        </is>
      </c>
      <c r="L636" s="8" t="n">
        <v>3.5</v>
      </c>
      <c r="M636" s="9" t="n">
        <v>7.7</v>
      </c>
      <c r="N636" s="10" t="inlineStr">
        <is>
          <t>PROPOSÉ</t>
        </is>
      </c>
      <c r="O636" s="11">
        <f>IF(M636="","",M636-L636)</f>
        <v/>
      </c>
      <c r="P636" s="12">
        <f>IF(OR(M636="",M636=0),"",(M636-L636)/M636)</f>
        <v/>
      </c>
      <c r="Q636" s="13">
        <f>IF(OR(M636="",L636=0,L636=""),"",M636/L636)</f>
        <v/>
      </c>
      <c r="R636" s="11">
        <f>IF(M636="","",M636*1.055)</f>
        <v/>
      </c>
      <c r="S636" s="14" t="n"/>
      <c r="T636" s="15" t="n"/>
    </row>
    <row r="637">
      <c r="A637" s="16" t="inlineStr">
        <is>
          <t>PROD-0173</t>
        </is>
      </c>
      <c r="B637" s="16" t="inlineStr">
        <is>
          <t>Soupe de truite fumée 480 ml</t>
        </is>
      </c>
      <c r="C637" s="16" t="inlineStr">
        <is>
          <t>TRAITEUR_MER</t>
        </is>
      </c>
      <c r="D637" s="16" t="inlineStr">
        <is>
          <t>SOUPE_ET_BISQUE</t>
        </is>
      </c>
      <c r="E637" s="16" t="inlineStr">
        <is>
          <t>ESSENTIEL</t>
        </is>
      </c>
      <c r="F637" s="16" t="inlineStr">
        <is>
          <t>MAISON SAINT LO</t>
        </is>
      </c>
      <c r="G637" s="16" t="inlineStr">
        <is>
          <t>NORMAND DIRECT TERROIR</t>
        </is>
      </c>
      <c r="H637" s="16" t="inlineStr"/>
      <c r="I637" s="16" t="inlineStr">
        <is>
          <t>480 ml</t>
        </is>
      </c>
      <c r="J637" s="16" t="inlineStr">
        <is>
          <t>NON</t>
        </is>
      </c>
      <c r="K637" s="17" t="inlineStr">
        <is>
          <t>5.5 %</t>
        </is>
      </c>
      <c r="L637" s="18" t="n">
        <v>3.5</v>
      </c>
      <c r="M637" s="9" t="n">
        <v>7.7</v>
      </c>
      <c r="N637" s="10" t="inlineStr">
        <is>
          <t>PROPOSÉ</t>
        </is>
      </c>
      <c r="O637" s="11">
        <f>IF(M637="","",M637-L637)</f>
        <v/>
      </c>
      <c r="P637" s="12">
        <f>IF(OR(M637="",M637=0),"",(M637-L637)/M637)</f>
        <v/>
      </c>
      <c r="Q637" s="13">
        <f>IF(OR(M637="",L637=0,L637=""),"",M637/L637)</f>
        <v/>
      </c>
      <c r="R637" s="11">
        <f>IF(M637="","",M637*1.055)</f>
        <v/>
      </c>
      <c r="S637" s="14" t="n"/>
      <c r="T637" s="15" t="n"/>
    </row>
    <row r="638">
      <c r="A638" s="6" t="inlineStr">
        <is>
          <t>PROD-0174</t>
        </is>
      </c>
      <c r="B638" s="6" t="inlineStr">
        <is>
          <t>Velouté de saumon 480 ml</t>
        </is>
      </c>
      <c r="C638" s="6" t="inlineStr">
        <is>
          <t>TRAITEUR_MER</t>
        </is>
      </c>
      <c r="D638" s="6" t="inlineStr">
        <is>
          <t>SOUPE_ET_BISQUE</t>
        </is>
      </c>
      <c r="E638" s="6" t="inlineStr">
        <is>
          <t>ESSENTIEL</t>
        </is>
      </c>
      <c r="F638" s="6" t="inlineStr">
        <is>
          <t>MAISON SAINT LO</t>
        </is>
      </c>
      <c r="G638" s="6" t="inlineStr">
        <is>
          <t>NORMAND DIRECT TERROIR</t>
        </is>
      </c>
      <c r="H638" s="6" t="inlineStr"/>
      <c r="I638" s="6" t="inlineStr">
        <is>
          <t>480 ml</t>
        </is>
      </c>
      <c r="J638" s="6" t="inlineStr">
        <is>
          <t>NON</t>
        </is>
      </c>
      <c r="K638" s="7" t="inlineStr">
        <is>
          <t>5.5 %</t>
        </is>
      </c>
      <c r="L638" s="8" t="n">
        <v>3.5</v>
      </c>
      <c r="M638" s="9" t="n">
        <v>7.7</v>
      </c>
      <c r="N638" s="10" t="inlineStr">
        <is>
          <t>PROPOSÉ</t>
        </is>
      </c>
      <c r="O638" s="11">
        <f>IF(M638="","",M638-L638)</f>
        <v/>
      </c>
      <c r="P638" s="12">
        <f>IF(OR(M638="",M638=0),"",(M638-L638)/M638)</f>
        <v/>
      </c>
      <c r="Q638" s="13">
        <f>IF(OR(M638="",L638=0,L638=""),"",M638/L638)</f>
        <v/>
      </c>
      <c r="R638" s="11">
        <f>IF(M638="","",M638*1.055)</f>
        <v/>
      </c>
      <c r="S638" s="14" t="n"/>
      <c r="T638" s="15" t="n"/>
    </row>
    <row r="639">
      <c r="A639" s="16" t="inlineStr">
        <is>
          <t>PROD-0175</t>
        </is>
      </c>
      <c r="B639" s="16" t="inlineStr">
        <is>
          <t>Velouté de truite 480 ml</t>
        </is>
      </c>
      <c r="C639" s="16" t="inlineStr">
        <is>
          <t>TRAITEUR_MER</t>
        </is>
      </c>
      <c r="D639" s="16" t="inlineStr">
        <is>
          <t>SOUPE_ET_BISQUE</t>
        </is>
      </c>
      <c r="E639" s="16" t="inlineStr">
        <is>
          <t>ESSENTIEL</t>
        </is>
      </c>
      <c r="F639" s="16" t="inlineStr">
        <is>
          <t>MAISON SAINT LO</t>
        </is>
      </c>
      <c r="G639" s="16" t="inlineStr">
        <is>
          <t>NORMAND DIRECT TERROIR</t>
        </is>
      </c>
      <c r="H639" s="16" t="inlineStr"/>
      <c r="I639" s="16" t="inlineStr">
        <is>
          <t>480 ml</t>
        </is>
      </c>
      <c r="J639" s="16" t="inlineStr">
        <is>
          <t>NON</t>
        </is>
      </c>
      <c r="K639" s="17" t="inlineStr">
        <is>
          <t>5.5 %</t>
        </is>
      </c>
      <c r="L639" s="18" t="n">
        <v>3.5</v>
      </c>
      <c r="M639" s="9" t="n">
        <v>7.7</v>
      </c>
      <c r="N639" s="10" t="inlineStr">
        <is>
          <t>PROPOSÉ</t>
        </is>
      </c>
      <c r="O639" s="11">
        <f>IF(M639="","",M639-L639)</f>
        <v/>
      </c>
      <c r="P639" s="12">
        <f>IF(OR(M639="",M639=0),"",(M639-L639)/M639)</f>
        <v/>
      </c>
      <c r="Q639" s="13">
        <f>IF(OR(M639="",L639=0,L639=""),"",M639/L639)</f>
        <v/>
      </c>
      <c r="R639" s="11">
        <f>IF(M639="","",M639*1.055)</f>
        <v/>
      </c>
      <c r="S639" s="14" t="n"/>
      <c r="T639" s="15" t="n"/>
    </row>
    <row r="640">
      <c r="A640" s="6" t="inlineStr">
        <is>
          <t>PROD-0176</t>
        </is>
      </c>
      <c r="B640" s="6" t="inlineStr">
        <is>
          <t>Soupe de poisson 480 ml</t>
        </is>
      </c>
      <c r="C640" s="6" t="inlineStr">
        <is>
          <t>TRAITEUR_MER</t>
        </is>
      </c>
      <c r="D640" s="6" t="inlineStr">
        <is>
          <t>SOUPE_ET_BISQUE</t>
        </is>
      </c>
      <c r="E640" s="6" t="inlineStr">
        <is>
          <t>ESSENTIEL</t>
        </is>
      </c>
      <c r="F640" s="6" t="inlineStr">
        <is>
          <t>MAISON SAINT LO</t>
        </is>
      </c>
      <c r="G640" s="6" t="inlineStr">
        <is>
          <t>NORMAND DIRECT TERROIR</t>
        </is>
      </c>
      <c r="H640" s="6" t="inlineStr"/>
      <c r="I640" s="6" t="inlineStr">
        <is>
          <t>480 ml</t>
        </is>
      </c>
      <c r="J640" s="6" t="inlineStr">
        <is>
          <t>NON</t>
        </is>
      </c>
      <c r="K640" s="7" t="inlineStr">
        <is>
          <t>5.5 %</t>
        </is>
      </c>
      <c r="L640" s="8" t="n">
        <v>3.5</v>
      </c>
      <c r="M640" s="9" t="n">
        <v>7.7</v>
      </c>
      <c r="N640" s="10" t="inlineStr">
        <is>
          <t>PROPOSÉ</t>
        </is>
      </c>
      <c r="O640" s="11">
        <f>IF(M640="","",M640-L640)</f>
        <v/>
      </c>
      <c r="P640" s="12">
        <f>IF(OR(M640="",M640=0),"",(M640-L640)/M640)</f>
        <v/>
      </c>
      <c r="Q640" s="13">
        <f>IF(OR(M640="",L640=0,L640=""),"",M640/L640)</f>
        <v/>
      </c>
      <c r="R640" s="11">
        <f>IF(M640="","",M640*1.055)</f>
        <v/>
      </c>
      <c r="S640" s="14" t="n"/>
      <c r="T640" s="15" t="n"/>
    </row>
    <row r="641">
      <c r="A641" s="16" t="inlineStr">
        <is>
          <t>PROD-0196</t>
        </is>
      </c>
      <c r="B641" s="16" t="inlineStr">
        <is>
          <t>Rillettes saumon aux noix  St Jacques 90 grs</t>
        </is>
      </c>
      <c r="C641" s="16" t="inlineStr">
        <is>
          <t>TRAITEUR_MER</t>
        </is>
      </c>
      <c r="D641" s="16" t="inlineStr">
        <is>
          <t>PRODUIT_DE_LA_MER</t>
        </is>
      </c>
      <c r="E641" s="16" t="inlineStr">
        <is>
          <t>ESSENTIEL</t>
        </is>
      </c>
      <c r="F641" s="16" t="inlineStr">
        <is>
          <t>MAISON SAINT LO</t>
        </is>
      </c>
      <c r="G641" s="16" t="inlineStr">
        <is>
          <t>NORMAND DIRECT TERROIR</t>
        </is>
      </c>
      <c r="H641" s="16" t="inlineStr"/>
      <c r="I641" s="16" t="inlineStr">
        <is>
          <t>90 g</t>
        </is>
      </c>
      <c r="J641" s="16" t="inlineStr">
        <is>
          <t>NON</t>
        </is>
      </c>
      <c r="K641" s="17" t="inlineStr">
        <is>
          <t>5.5 %</t>
        </is>
      </c>
      <c r="L641" s="18" t="n">
        <v>3.5</v>
      </c>
      <c r="M641" s="9" t="n">
        <v>7.7</v>
      </c>
      <c r="N641" s="10" t="inlineStr">
        <is>
          <t>PROPOSÉ</t>
        </is>
      </c>
      <c r="O641" s="11">
        <f>IF(M641="","",M641-L641)</f>
        <v/>
      </c>
      <c r="P641" s="12">
        <f>IF(OR(M641="",M641=0),"",(M641-L641)/M641)</f>
        <v/>
      </c>
      <c r="Q641" s="13">
        <f>IF(OR(M641="",L641=0,L641=""),"",M641/L641)</f>
        <v/>
      </c>
      <c r="R641" s="11">
        <f>IF(M641="","",M641*1.055)</f>
        <v/>
      </c>
      <c r="S641" s="14" t="n"/>
      <c r="T641" s="15" t="n"/>
    </row>
    <row r="642">
      <c r="A642" s="6" t="inlineStr">
        <is>
          <t>PROD-0197</t>
        </is>
      </c>
      <c r="B642" s="6" t="inlineStr">
        <is>
          <t>Rillettes de truite noix de st jacques 90 grs</t>
        </is>
      </c>
      <c r="C642" s="6" t="inlineStr">
        <is>
          <t>TRAITEUR_MER</t>
        </is>
      </c>
      <c r="D642" s="6" t="inlineStr">
        <is>
          <t>PRODUIT_DE_LA_MER</t>
        </is>
      </c>
      <c r="E642" s="6" t="inlineStr">
        <is>
          <t>ESSENTIEL</t>
        </is>
      </c>
      <c r="F642" s="6" t="inlineStr">
        <is>
          <t>MAISON SAINT LO</t>
        </is>
      </c>
      <c r="G642" s="6" t="inlineStr">
        <is>
          <t>NORMAND DIRECT TERROIR</t>
        </is>
      </c>
      <c r="H642" s="6" t="inlineStr"/>
      <c r="I642" s="6" t="inlineStr">
        <is>
          <t>90 g</t>
        </is>
      </c>
      <c r="J642" s="6" t="inlineStr">
        <is>
          <t>NON</t>
        </is>
      </c>
      <c r="K642" s="7" t="inlineStr">
        <is>
          <t>5.5 %</t>
        </is>
      </c>
      <c r="L642" s="8" t="n">
        <v>3.5</v>
      </c>
      <c r="M642" s="9" t="n">
        <v>7.7</v>
      </c>
      <c r="N642" s="10" t="inlineStr">
        <is>
          <t>PROPOSÉ</t>
        </is>
      </c>
      <c r="O642" s="11">
        <f>IF(M642="","",M642-L642)</f>
        <v/>
      </c>
      <c r="P642" s="12">
        <f>IF(OR(M642="",M642=0),"",(M642-L642)/M642)</f>
        <v/>
      </c>
      <c r="Q642" s="13">
        <f>IF(OR(M642="",L642=0,L642=""),"",M642/L642)</f>
        <v/>
      </c>
      <c r="R642" s="11">
        <f>IF(M642="","",M642*1.055)</f>
        <v/>
      </c>
      <c r="S642" s="14" t="n"/>
      <c r="T642" s="15" t="n"/>
    </row>
    <row r="643">
      <c r="A643" s="16" t="inlineStr">
        <is>
          <t>PROD-0198</t>
        </is>
      </c>
      <c r="B643" s="16" t="inlineStr">
        <is>
          <t>Terrine de haddock 90 grs</t>
        </is>
      </c>
      <c r="C643" s="16" t="inlineStr">
        <is>
          <t>TRAITEUR_MER</t>
        </is>
      </c>
      <c r="D643" s="16" t="inlineStr">
        <is>
          <t>PRODUIT_DE_LA_MER</t>
        </is>
      </c>
      <c r="E643" s="16" t="inlineStr">
        <is>
          <t>ESSENTIEL</t>
        </is>
      </c>
      <c r="F643" s="16" t="inlineStr">
        <is>
          <t>MAISON SAINT LO</t>
        </is>
      </c>
      <c r="G643" s="16" t="inlineStr">
        <is>
          <t>NORMAND DIRECT TERROIR</t>
        </is>
      </c>
      <c r="H643" s="16" t="inlineStr"/>
      <c r="I643" s="16" t="inlineStr">
        <is>
          <t>90 g</t>
        </is>
      </c>
      <c r="J643" s="16" t="inlineStr">
        <is>
          <t>NON</t>
        </is>
      </c>
      <c r="K643" s="17" t="inlineStr">
        <is>
          <t>5.5 %</t>
        </is>
      </c>
      <c r="L643" s="18" t="n">
        <v>3.5</v>
      </c>
      <c r="M643" s="9" t="n">
        <v>7.7</v>
      </c>
      <c r="N643" s="10" t="inlineStr">
        <is>
          <t>PROPOSÉ</t>
        </is>
      </c>
      <c r="O643" s="11">
        <f>IF(M643="","",M643-L643)</f>
        <v/>
      </c>
      <c r="P643" s="12">
        <f>IF(OR(M643="",M643=0),"",(M643-L643)/M643)</f>
        <v/>
      </c>
      <c r="Q643" s="13">
        <f>IF(OR(M643="",L643=0,L643=""),"",M643/L643)</f>
        <v/>
      </c>
      <c r="R643" s="11">
        <f>IF(M643="","",M643*1.055)</f>
        <v/>
      </c>
      <c r="S643" s="14" t="n"/>
      <c r="T643" s="15" t="n"/>
    </row>
    <row r="644">
      <c r="A644" s="6" t="inlineStr">
        <is>
          <t>PROD-0199</t>
        </is>
      </c>
      <c r="B644" s="6" t="inlineStr">
        <is>
          <t>Terrine de truite fumée 90 grs</t>
        </is>
      </c>
      <c r="C644" s="6" t="inlineStr">
        <is>
          <t>TRAITEUR_MER</t>
        </is>
      </c>
      <c r="D644" s="6" t="inlineStr">
        <is>
          <t>PRODUIT_DE_LA_MER</t>
        </is>
      </c>
      <c r="E644" s="6" t="inlineStr">
        <is>
          <t>ESSENTIEL</t>
        </is>
      </c>
      <c r="F644" s="6" t="inlineStr">
        <is>
          <t>MAISON SAINT LO</t>
        </is>
      </c>
      <c r="G644" s="6" t="inlineStr">
        <is>
          <t>NORMAND DIRECT TERROIR</t>
        </is>
      </c>
      <c r="H644" s="6" t="inlineStr"/>
      <c r="I644" s="6" t="inlineStr">
        <is>
          <t>90 g</t>
        </is>
      </c>
      <c r="J644" s="6" t="inlineStr">
        <is>
          <t>NON</t>
        </is>
      </c>
      <c r="K644" s="7" t="inlineStr">
        <is>
          <t>5.5 %</t>
        </is>
      </c>
      <c r="L644" s="8" t="n">
        <v>3.5</v>
      </c>
      <c r="M644" s="9" t="n">
        <v>7.7</v>
      </c>
      <c r="N644" s="10" t="inlineStr">
        <is>
          <t>PROPOSÉ</t>
        </is>
      </c>
      <c r="O644" s="11">
        <f>IF(M644="","",M644-L644)</f>
        <v/>
      </c>
      <c r="P644" s="12">
        <f>IF(OR(M644="",M644=0),"",(M644-L644)/M644)</f>
        <v/>
      </c>
      <c r="Q644" s="13">
        <f>IF(OR(M644="",L644=0,L644=""),"",M644/L644)</f>
        <v/>
      </c>
      <c r="R644" s="11">
        <f>IF(M644="","",M644*1.055)</f>
        <v/>
      </c>
      <c r="S644" s="14" t="n"/>
      <c r="T644" s="15" t="n"/>
    </row>
    <row r="645">
      <c r="A645" s="16" t="inlineStr">
        <is>
          <t>PROD-0200</t>
        </is>
      </c>
      <c r="B645" s="16" t="inlineStr">
        <is>
          <t>Terrine saumon fumé 90 grs</t>
        </is>
      </c>
      <c r="C645" s="16" t="inlineStr">
        <is>
          <t>TRAITEUR_MER</t>
        </is>
      </c>
      <c r="D645" s="16" t="inlineStr">
        <is>
          <t>PRODUIT_DE_LA_MER</t>
        </is>
      </c>
      <c r="E645" s="16" t="inlineStr">
        <is>
          <t>ESSENTIEL</t>
        </is>
      </c>
      <c r="F645" s="16" t="inlineStr">
        <is>
          <t>MAISON SAINT LO</t>
        </is>
      </c>
      <c r="G645" s="16" t="inlineStr">
        <is>
          <t>NORMAND DIRECT TERROIR</t>
        </is>
      </c>
      <c r="H645" s="16" t="inlineStr"/>
      <c r="I645" s="16" t="inlineStr">
        <is>
          <t>90 g</t>
        </is>
      </c>
      <c r="J645" s="16" t="inlineStr">
        <is>
          <t>NON</t>
        </is>
      </c>
      <c r="K645" s="17" t="inlineStr">
        <is>
          <t>5.5 %</t>
        </is>
      </c>
      <c r="L645" s="18" t="n">
        <v>3.5</v>
      </c>
      <c r="M645" s="9" t="n">
        <v>7.7</v>
      </c>
      <c r="N645" s="10" t="inlineStr">
        <is>
          <t>PROPOSÉ</t>
        </is>
      </c>
      <c r="O645" s="11">
        <f>IF(M645="","",M645-L645)</f>
        <v/>
      </c>
      <c r="P645" s="12">
        <f>IF(OR(M645="",M645=0),"",(M645-L645)/M645)</f>
        <v/>
      </c>
      <c r="Q645" s="13">
        <f>IF(OR(M645="",L645=0,L645=""),"",M645/L645)</f>
        <v/>
      </c>
      <c r="R645" s="11">
        <f>IF(M645="","",M645*1.055)</f>
        <v/>
      </c>
      <c r="S645" s="14" t="n"/>
      <c r="T645" s="15" t="n"/>
    </row>
    <row r="646">
      <c r="A646" s="6" t="inlineStr">
        <is>
          <t>PROD-0124</t>
        </is>
      </c>
      <c r="B646" s="6" t="inlineStr">
        <is>
          <t>Soupe de poisson 1 litre</t>
        </is>
      </c>
      <c r="C646" s="6" t="inlineStr">
        <is>
          <t>TRAITEUR_MER</t>
        </is>
      </c>
      <c r="D646" s="6" t="inlineStr">
        <is>
          <t>SOUPE_ET_BISQUE</t>
        </is>
      </c>
      <c r="E646" s="6" t="inlineStr">
        <is>
          <t>ESSENTIEL</t>
        </is>
      </c>
      <c r="F646" s="6" t="inlineStr">
        <is>
          <t>PÈRE ROUPSARD TRAITEUR</t>
        </is>
      </c>
      <c r="G646" s="6" t="inlineStr">
        <is>
          <t>NORMAND DIRECT TERROIR</t>
        </is>
      </c>
      <c r="H646" s="6" t="inlineStr"/>
      <c r="I646" s="6" t="inlineStr">
        <is>
          <t>1000 ml</t>
        </is>
      </c>
      <c r="J646" s="6" t="inlineStr">
        <is>
          <t>NON</t>
        </is>
      </c>
      <c r="K646" s="7" t="inlineStr">
        <is>
          <t>5.5 %</t>
        </is>
      </c>
      <c r="L646" s="8" t="n">
        <v>3.4</v>
      </c>
      <c r="M646" s="9" t="n">
        <v>7.5</v>
      </c>
      <c r="N646" s="10" t="inlineStr">
        <is>
          <t>PROPOSÉ</t>
        </is>
      </c>
      <c r="O646" s="11">
        <f>IF(M646="","",M646-L646)</f>
        <v/>
      </c>
      <c r="P646" s="12">
        <f>IF(OR(M646="",M646=0),"",(M646-L646)/M646)</f>
        <v/>
      </c>
      <c r="Q646" s="13">
        <f>IF(OR(M646="",L646=0,L646=""),"",M646/L646)</f>
        <v/>
      </c>
      <c r="R646" s="11">
        <f>IF(M646="","",M646*1.055)</f>
        <v/>
      </c>
      <c r="S646" s="14" t="n"/>
      <c r="T646" s="15" t="n"/>
    </row>
    <row r="647">
      <c r="A647" s="16" t="inlineStr">
        <is>
          <t>PROD-0132</t>
        </is>
      </c>
      <c r="B647" s="16" t="inlineStr">
        <is>
          <t>Thon ail et fines herbes 90 g</t>
        </is>
      </c>
      <c r="C647" s="16" t="inlineStr">
        <is>
          <t>TRAITEUR_MER</t>
        </is>
      </c>
      <c r="D647" s="16" t="inlineStr">
        <is>
          <t>PRODUIT_DE_LA_MER</t>
        </is>
      </c>
      <c r="E647" s="16" t="inlineStr">
        <is>
          <t>ESSENTIEL</t>
        </is>
      </c>
      <c r="F647" s="16" t="inlineStr">
        <is>
          <t>LES DINATOIRES DU PÈRE ROUPSARD</t>
        </is>
      </c>
      <c r="G647" s="16" t="inlineStr">
        <is>
          <t>NORMAND DIRECT TERROIR</t>
        </is>
      </c>
      <c r="H647" s="16" t="inlineStr"/>
      <c r="I647" s="16" t="inlineStr">
        <is>
          <t>90 g</t>
        </is>
      </c>
      <c r="J647" s="16" t="inlineStr">
        <is>
          <t>NON</t>
        </is>
      </c>
      <c r="K647" s="17" t="inlineStr">
        <is>
          <t>5.5 %</t>
        </is>
      </c>
      <c r="L647" s="18" t="n">
        <v>3.25</v>
      </c>
      <c r="M647" s="9" t="n">
        <v>7.2</v>
      </c>
      <c r="N647" s="10" t="inlineStr">
        <is>
          <t>PROPOSÉ</t>
        </is>
      </c>
      <c r="O647" s="11">
        <f>IF(M647="","",M647-L647)</f>
        <v/>
      </c>
      <c r="P647" s="12">
        <f>IF(OR(M647="",M647=0),"",(M647-L647)/M647)</f>
        <v/>
      </c>
      <c r="Q647" s="13">
        <f>IF(OR(M647="",L647=0,L647=""),"",M647/L647)</f>
        <v/>
      </c>
      <c r="R647" s="11">
        <f>IF(M647="","",M647*1.055)</f>
        <v/>
      </c>
      <c r="S647" s="14" t="n"/>
      <c r="T647" s="15" t="n"/>
    </row>
    <row r="648">
      <c r="A648" s="6" t="inlineStr">
        <is>
          <t>PROD-0133</t>
        </is>
      </c>
      <c r="B648" s="6" t="inlineStr">
        <is>
          <t>Deux saumon et basilic 90 g  NOUVEAU</t>
        </is>
      </c>
      <c r="C648" s="6" t="inlineStr">
        <is>
          <t>TRAITEUR_MER</t>
        </is>
      </c>
      <c r="D648" s="6" t="inlineStr">
        <is>
          <t>PRODUIT_DE_LA_MER</t>
        </is>
      </c>
      <c r="E648" s="6" t="inlineStr">
        <is>
          <t>ESSENTIEL</t>
        </is>
      </c>
      <c r="F648" s="6" t="inlineStr">
        <is>
          <t>LES DINATOIRES DU PÈRE ROUPSARD</t>
        </is>
      </c>
      <c r="G648" s="6" t="inlineStr">
        <is>
          <t>NORMAND DIRECT TERROIR</t>
        </is>
      </c>
      <c r="H648" s="6" t="inlineStr"/>
      <c r="I648" s="6" t="inlineStr">
        <is>
          <t>90 g</t>
        </is>
      </c>
      <c r="J648" s="6" t="inlineStr">
        <is>
          <t>NON</t>
        </is>
      </c>
      <c r="K648" s="7" t="inlineStr">
        <is>
          <t>5.5 %</t>
        </is>
      </c>
      <c r="L648" s="8" t="n">
        <v>3.25</v>
      </c>
      <c r="M648" s="9" t="n">
        <v>7.2</v>
      </c>
      <c r="N648" s="10" t="inlineStr">
        <is>
          <t>PROPOSÉ</t>
        </is>
      </c>
      <c r="O648" s="11">
        <f>IF(M648="","",M648-L648)</f>
        <v/>
      </c>
      <c r="P648" s="12">
        <f>IF(OR(M648="",M648=0),"",(M648-L648)/M648)</f>
        <v/>
      </c>
      <c r="Q648" s="13">
        <f>IF(OR(M648="",L648=0,L648=""),"",M648/L648)</f>
        <v/>
      </c>
      <c r="R648" s="11">
        <f>IF(M648="","",M648*1.055)</f>
        <v/>
      </c>
      <c r="S648" s="14" t="n"/>
      <c r="T648" s="15" t="n"/>
    </row>
    <row r="649">
      <c r="A649" s="16" t="inlineStr">
        <is>
          <t>PROD-0134</t>
        </is>
      </c>
      <c r="B649" s="16" t="inlineStr">
        <is>
          <t>St jacques éclats de porc fumés 90 grs</t>
        </is>
      </c>
      <c r="C649" s="16" t="inlineStr">
        <is>
          <t>TRAITEUR_MER</t>
        </is>
      </c>
      <c r="D649" s="16" t="inlineStr">
        <is>
          <t>PRODUIT_DE_LA_MER</t>
        </is>
      </c>
      <c r="E649" s="16" t="inlineStr">
        <is>
          <t>ESSENTIEL</t>
        </is>
      </c>
      <c r="F649" s="16" t="inlineStr">
        <is>
          <t>LES DINATOIRES DU PÈRE ROUPSARD</t>
        </is>
      </c>
      <c r="G649" s="16" t="inlineStr">
        <is>
          <t>NORMAND DIRECT TERROIR</t>
        </is>
      </c>
      <c r="H649" s="16" t="inlineStr"/>
      <c r="I649" s="16" t="inlineStr">
        <is>
          <t>90 g</t>
        </is>
      </c>
      <c r="J649" s="16" t="inlineStr">
        <is>
          <t>NON</t>
        </is>
      </c>
      <c r="K649" s="17" t="inlineStr">
        <is>
          <t>5.5 %</t>
        </is>
      </c>
      <c r="L649" s="18" t="n">
        <v>3.25</v>
      </c>
      <c r="M649" s="9" t="n">
        <v>7.2</v>
      </c>
      <c r="N649" s="10" t="inlineStr">
        <is>
          <t>PROPOSÉ</t>
        </is>
      </c>
      <c r="O649" s="11">
        <f>IF(M649="","",M649-L649)</f>
        <v/>
      </c>
      <c r="P649" s="12">
        <f>IF(OR(M649="",M649=0),"",(M649-L649)/M649)</f>
        <v/>
      </c>
      <c r="Q649" s="13">
        <f>IF(OR(M649="",L649=0,L649=""),"",M649/L649)</f>
        <v/>
      </c>
      <c r="R649" s="11">
        <f>IF(M649="","",M649*1.055)</f>
        <v/>
      </c>
      <c r="S649" s="14" t="n"/>
      <c r="T649" s="15" t="n"/>
    </row>
    <row r="650">
      <c r="A650" s="6" t="inlineStr">
        <is>
          <t>PROD-0135</t>
        </is>
      </c>
      <c r="B650" s="6" t="inlineStr">
        <is>
          <t>St jacques algues 90 grs</t>
        </is>
      </c>
      <c r="C650" s="6" t="inlineStr">
        <is>
          <t>TRAITEUR_MER</t>
        </is>
      </c>
      <c r="D650" s="6" t="inlineStr">
        <is>
          <t>PRODUIT_DE_LA_MER</t>
        </is>
      </c>
      <c r="E650" s="6" t="inlineStr">
        <is>
          <t>ESSENTIEL</t>
        </is>
      </c>
      <c r="F650" s="6" t="inlineStr">
        <is>
          <t>LES DINATOIRES DU PÈRE ROUPSARD</t>
        </is>
      </c>
      <c r="G650" s="6" t="inlineStr">
        <is>
          <t>NORMAND DIRECT TERROIR</t>
        </is>
      </c>
      <c r="H650" s="6" t="inlineStr"/>
      <c r="I650" s="6" t="inlineStr">
        <is>
          <t>90 g</t>
        </is>
      </c>
      <c r="J650" s="6" t="inlineStr">
        <is>
          <t>NON</t>
        </is>
      </c>
      <c r="K650" s="7" t="inlineStr">
        <is>
          <t>5.5 %</t>
        </is>
      </c>
      <c r="L650" s="8" t="n">
        <v>3.25</v>
      </c>
      <c r="M650" s="9" t="n">
        <v>7.2</v>
      </c>
      <c r="N650" s="10" t="inlineStr">
        <is>
          <t>PROPOSÉ</t>
        </is>
      </c>
      <c r="O650" s="11">
        <f>IF(M650="","",M650-L650)</f>
        <v/>
      </c>
      <c r="P650" s="12">
        <f>IF(OR(M650="",M650=0),"",(M650-L650)/M650)</f>
        <v/>
      </c>
      <c r="Q650" s="13">
        <f>IF(OR(M650="",L650=0,L650=""),"",M650/L650)</f>
        <v/>
      </c>
      <c r="R650" s="11">
        <f>IF(M650="","",M650*1.055)</f>
        <v/>
      </c>
      <c r="S650" s="14" t="n"/>
      <c r="T650" s="15" t="n"/>
    </row>
    <row r="651">
      <c r="A651" s="16" t="inlineStr">
        <is>
          <t>PROD-0136</t>
        </is>
      </c>
      <c r="B651" s="16" t="inlineStr">
        <is>
          <t>St jacques chorizo 90 grs</t>
        </is>
      </c>
      <c r="C651" s="16" t="inlineStr">
        <is>
          <t>TRAITEUR_MER</t>
        </is>
      </c>
      <c r="D651" s="16" t="inlineStr">
        <is>
          <t>PRODUIT_DE_LA_MER</t>
        </is>
      </c>
      <c r="E651" s="16" t="inlineStr">
        <is>
          <t>ESSENTIEL</t>
        </is>
      </c>
      <c r="F651" s="16" t="inlineStr">
        <is>
          <t>LES DINATOIRES DU PÈRE ROUPSARD</t>
        </is>
      </c>
      <c r="G651" s="16" t="inlineStr">
        <is>
          <t>NORMAND DIRECT TERROIR</t>
        </is>
      </c>
      <c r="H651" s="16" t="inlineStr"/>
      <c r="I651" s="16" t="inlineStr">
        <is>
          <t>90 g</t>
        </is>
      </c>
      <c r="J651" s="16" t="inlineStr">
        <is>
          <t>NON</t>
        </is>
      </c>
      <c r="K651" s="17" t="inlineStr">
        <is>
          <t>5.5 %</t>
        </is>
      </c>
      <c r="L651" s="18" t="n">
        <v>3.25</v>
      </c>
      <c r="M651" s="9" t="n">
        <v>7.2</v>
      </c>
      <c r="N651" s="10" t="inlineStr">
        <is>
          <t>PROPOSÉ</t>
        </is>
      </c>
      <c r="O651" s="11">
        <f>IF(M651="","",M651-L651)</f>
        <v/>
      </c>
      <c r="P651" s="12">
        <f>IF(OR(M651="",M651=0),"",(M651-L651)/M651)</f>
        <v/>
      </c>
      <c r="Q651" s="13">
        <f>IF(OR(M651="",L651=0,L651=""),"",M651/L651)</f>
        <v/>
      </c>
      <c r="R651" s="11">
        <f>IF(M651="","",M651*1.055)</f>
        <v/>
      </c>
      <c r="S651" s="14" t="n"/>
      <c r="T651" s="15" t="n"/>
    </row>
    <row r="652">
      <c r="A652" s="6" t="inlineStr">
        <is>
          <t>PROD-0137</t>
        </is>
      </c>
      <c r="B652" s="6" t="inlineStr">
        <is>
          <t>Sardine piment d'Espelette 90 grs</t>
        </is>
      </c>
      <c r="C652" s="6" t="inlineStr">
        <is>
          <t>TRAITEUR_MER</t>
        </is>
      </c>
      <c r="D652" s="6" t="inlineStr">
        <is>
          <t>PRODUIT_DE_LA_MER</t>
        </is>
      </c>
      <c r="E652" s="6" t="inlineStr">
        <is>
          <t>ESSENTIEL</t>
        </is>
      </c>
      <c r="F652" s="6" t="inlineStr">
        <is>
          <t>LES DINATOIRES DU PÈRE ROUPSARD</t>
        </is>
      </c>
      <c r="G652" s="6" t="inlineStr">
        <is>
          <t>NORMAND DIRECT TERROIR</t>
        </is>
      </c>
      <c r="H652" s="6" t="inlineStr"/>
      <c r="I652" s="6" t="inlineStr">
        <is>
          <t>90 g</t>
        </is>
      </c>
      <c r="J652" s="6" t="inlineStr">
        <is>
          <t>NON</t>
        </is>
      </c>
      <c r="K652" s="7" t="inlineStr">
        <is>
          <t>5.5 %</t>
        </is>
      </c>
      <c r="L652" s="8" t="n">
        <v>3.25</v>
      </c>
      <c r="M652" s="9" t="n">
        <v>7.2</v>
      </c>
      <c r="N652" s="10" t="inlineStr">
        <is>
          <t>PROPOSÉ</t>
        </is>
      </c>
      <c r="O652" s="11">
        <f>IF(M652="","",M652-L652)</f>
        <v/>
      </c>
      <c r="P652" s="12">
        <f>IF(OR(M652="",M652=0),"",(M652-L652)/M652)</f>
        <v/>
      </c>
      <c r="Q652" s="13">
        <f>IF(OR(M652="",L652=0,L652=""),"",M652/L652)</f>
        <v/>
      </c>
      <c r="R652" s="11">
        <f>IF(M652="","",M652*1.055)</f>
        <v/>
      </c>
      <c r="S652" s="14" t="n"/>
      <c r="T652" s="15" t="n"/>
    </row>
    <row r="653">
      <c r="A653" s="16" t="inlineStr">
        <is>
          <t>PROD-0138</t>
        </is>
      </c>
      <c r="B653" s="16" t="inlineStr">
        <is>
          <t>Rouget poireau 90 grs</t>
        </is>
      </c>
      <c r="C653" s="16" t="inlineStr">
        <is>
          <t>TRAITEUR_MER</t>
        </is>
      </c>
      <c r="D653" s="16" t="inlineStr">
        <is>
          <t>PRODUIT_DE_LA_MER</t>
        </is>
      </c>
      <c r="E653" s="16" t="inlineStr">
        <is>
          <t>ESSENTIEL</t>
        </is>
      </c>
      <c r="F653" s="16" t="inlineStr">
        <is>
          <t>LES DINATOIRES DU PÈRE ROUPSARD</t>
        </is>
      </c>
      <c r="G653" s="16" t="inlineStr">
        <is>
          <t>NORMAND DIRECT TERROIR</t>
        </is>
      </c>
      <c r="H653" s="16" t="inlineStr"/>
      <c r="I653" s="16" t="inlineStr">
        <is>
          <t>90 g</t>
        </is>
      </c>
      <c r="J653" s="16" t="inlineStr">
        <is>
          <t>NON</t>
        </is>
      </c>
      <c r="K653" s="17" t="inlineStr">
        <is>
          <t>5.5 %</t>
        </is>
      </c>
      <c r="L653" s="18" t="n">
        <v>3.25</v>
      </c>
      <c r="M653" s="9" t="n">
        <v>7.2</v>
      </c>
      <c r="N653" s="10" t="inlineStr">
        <is>
          <t>PROPOSÉ</t>
        </is>
      </c>
      <c r="O653" s="11">
        <f>IF(M653="","",M653-L653)</f>
        <v/>
      </c>
      <c r="P653" s="12">
        <f>IF(OR(M653="",M653=0),"",(M653-L653)/M653)</f>
        <v/>
      </c>
      <c r="Q653" s="13">
        <f>IF(OR(M653="",L653=0,L653=""),"",M653/L653)</f>
        <v/>
      </c>
      <c r="R653" s="11">
        <f>IF(M653="","",M653*1.055)</f>
        <v/>
      </c>
      <c r="S653" s="14" t="n"/>
      <c r="T653" s="15" t="n"/>
    </row>
    <row r="654">
      <c r="A654" s="6" t="inlineStr">
        <is>
          <t>PROD-0139</t>
        </is>
      </c>
      <c r="B654" s="6" t="inlineStr">
        <is>
          <t>Maquereaux en rillettes 90 grs</t>
        </is>
      </c>
      <c r="C654" s="6" t="inlineStr">
        <is>
          <t>TRAITEUR_MER</t>
        </is>
      </c>
      <c r="D654" s="6" t="inlineStr">
        <is>
          <t>PRODUIT_DE_LA_MER</t>
        </is>
      </c>
      <c r="E654" s="6" t="inlineStr">
        <is>
          <t>ESSENTIEL</t>
        </is>
      </c>
      <c r="F654" s="6" t="inlineStr">
        <is>
          <t>LES DINATOIRES DU PÈRE ROUPSARD</t>
        </is>
      </c>
      <c r="G654" s="6" t="inlineStr">
        <is>
          <t>NORMAND DIRECT TERROIR</t>
        </is>
      </c>
      <c r="H654" s="6" t="inlineStr"/>
      <c r="I654" s="6" t="inlineStr">
        <is>
          <t>90 g</t>
        </is>
      </c>
      <c r="J654" s="6" t="inlineStr">
        <is>
          <t>NON</t>
        </is>
      </c>
      <c r="K654" s="7" t="inlineStr">
        <is>
          <t>5.5 %</t>
        </is>
      </c>
      <c r="L654" s="8" t="n">
        <v>3.25</v>
      </c>
      <c r="M654" s="9" t="n">
        <v>7.2</v>
      </c>
      <c r="N654" s="10" t="inlineStr">
        <is>
          <t>PROPOSÉ</t>
        </is>
      </c>
      <c r="O654" s="11">
        <f>IF(M654="","",M654-L654)</f>
        <v/>
      </c>
      <c r="P654" s="12">
        <f>IF(OR(M654="",M654=0),"",(M654-L654)/M654)</f>
        <v/>
      </c>
      <c r="Q654" s="13">
        <f>IF(OR(M654="",L654=0,L654=""),"",M654/L654)</f>
        <v/>
      </c>
      <c r="R654" s="11">
        <f>IF(M654="","",M654*1.055)</f>
        <v/>
      </c>
      <c r="S654" s="14" t="n"/>
      <c r="T654" s="15" t="n"/>
    </row>
    <row r="655">
      <c r="A655" s="16" t="inlineStr">
        <is>
          <t>PROD-0140</t>
        </is>
      </c>
      <c r="B655" s="16" t="inlineStr">
        <is>
          <t>Crevette mangue 90 grs</t>
        </is>
      </c>
      <c r="C655" s="16" t="inlineStr">
        <is>
          <t>TRAITEUR_MER</t>
        </is>
      </c>
      <c r="D655" s="16" t="inlineStr">
        <is>
          <t>PRODUIT_DE_LA_MER</t>
        </is>
      </c>
      <c r="E655" s="16" t="inlineStr">
        <is>
          <t>ESSENTIEL</t>
        </is>
      </c>
      <c r="F655" s="16" t="inlineStr">
        <is>
          <t>LES DINATOIRES DU PÈRE ROUPSARD</t>
        </is>
      </c>
      <c r="G655" s="16" t="inlineStr">
        <is>
          <t>NORMAND DIRECT TERROIR</t>
        </is>
      </c>
      <c r="H655" s="16" t="inlineStr"/>
      <c r="I655" s="16" t="inlineStr">
        <is>
          <t>90 g</t>
        </is>
      </c>
      <c r="J655" s="16" t="inlineStr">
        <is>
          <t>NON</t>
        </is>
      </c>
      <c r="K655" s="17" t="inlineStr">
        <is>
          <t>5.5 %</t>
        </is>
      </c>
      <c r="L655" s="18" t="n">
        <v>3.25</v>
      </c>
      <c r="M655" s="9" t="n">
        <v>7.2</v>
      </c>
      <c r="N655" s="10" t="inlineStr">
        <is>
          <t>PROPOSÉ</t>
        </is>
      </c>
      <c r="O655" s="11">
        <f>IF(M655="","",M655-L655)</f>
        <v/>
      </c>
      <c r="P655" s="12">
        <f>IF(OR(M655="",M655=0),"",(M655-L655)/M655)</f>
        <v/>
      </c>
      <c r="Q655" s="13">
        <f>IF(OR(M655="",L655=0,L655=""),"",M655/L655)</f>
        <v/>
      </c>
      <c r="R655" s="11">
        <f>IF(M655="","",M655*1.055)</f>
        <v/>
      </c>
      <c r="S655" s="14" t="n"/>
      <c r="T655" s="15" t="n"/>
    </row>
    <row r="656">
      <c r="A656" s="6" t="inlineStr">
        <is>
          <t>PROD-0141</t>
        </is>
      </c>
      <c r="B656" s="6" t="inlineStr">
        <is>
          <t>Cabillaud fumé 90 grs</t>
        </is>
      </c>
      <c r="C656" s="6" t="inlineStr">
        <is>
          <t>TRAITEUR_MER</t>
        </is>
      </c>
      <c r="D656" s="6" t="inlineStr">
        <is>
          <t>PRODUIT_DE_LA_MER</t>
        </is>
      </c>
      <c r="E656" s="6" t="inlineStr">
        <is>
          <t>ESSENTIEL</t>
        </is>
      </c>
      <c r="F656" s="6" t="inlineStr">
        <is>
          <t>LES DINATOIRES DU PÈRE ROUPSARD</t>
        </is>
      </c>
      <c r="G656" s="6" t="inlineStr">
        <is>
          <t>NORMAND DIRECT TERROIR</t>
        </is>
      </c>
      <c r="H656" s="6" t="inlineStr"/>
      <c r="I656" s="6" t="inlineStr">
        <is>
          <t>90 g</t>
        </is>
      </c>
      <c r="J656" s="6" t="inlineStr">
        <is>
          <t>NON</t>
        </is>
      </c>
      <c r="K656" s="7" t="inlineStr">
        <is>
          <t>5.5 %</t>
        </is>
      </c>
      <c r="L656" s="8" t="n">
        <v>3.25</v>
      </c>
      <c r="M656" s="9" t="n">
        <v>7.2</v>
      </c>
      <c r="N656" s="10" t="inlineStr">
        <is>
          <t>PROPOSÉ</t>
        </is>
      </c>
      <c r="O656" s="11">
        <f>IF(M656="","",M656-L656)</f>
        <v/>
      </c>
      <c r="P656" s="12">
        <f>IF(OR(M656="",M656=0),"",(M656-L656)/M656)</f>
        <v/>
      </c>
      <c r="Q656" s="13">
        <f>IF(OR(M656="",L656=0,L656=""),"",M656/L656)</f>
        <v/>
      </c>
      <c r="R656" s="11">
        <f>IF(M656="","",M656*1.055)</f>
        <v/>
      </c>
      <c r="S656" s="14" t="n"/>
      <c r="T656" s="15" t="n"/>
    </row>
    <row r="657">
      <c r="A657" s="16" t="inlineStr">
        <is>
          <t>PROD-0201</t>
        </is>
      </c>
      <c r="B657" s="16" t="inlineStr">
        <is>
          <t>Rillettes saumon au miel et curry 90 grs</t>
        </is>
      </c>
      <c r="C657" s="16" t="inlineStr">
        <is>
          <t>TRAITEUR_MER</t>
        </is>
      </c>
      <c r="D657" s="16" t="inlineStr">
        <is>
          <t>PRODUIT_DE_LA_MER</t>
        </is>
      </c>
      <c r="E657" s="16" t="inlineStr">
        <is>
          <t>ESSENTIEL</t>
        </is>
      </c>
      <c r="F657" s="16" t="inlineStr">
        <is>
          <t>MAISON SAINT LO</t>
        </is>
      </c>
      <c r="G657" s="16" t="inlineStr">
        <is>
          <t>NORMAND DIRECT TERROIR</t>
        </is>
      </c>
      <c r="H657" s="16" t="inlineStr"/>
      <c r="I657" s="16" t="inlineStr">
        <is>
          <t>90 g</t>
        </is>
      </c>
      <c r="J657" s="16" t="inlineStr">
        <is>
          <t>NON</t>
        </is>
      </c>
      <c r="K657" s="17" t="inlineStr">
        <is>
          <t>5.5 %</t>
        </is>
      </c>
      <c r="L657" s="18" t="n">
        <v>3.2</v>
      </c>
      <c r="M657" s="9" t="n">
        <v>7</v>
      </c>
      <c r="N657" s="10" t="inlineStr">
        <is>
          <t>PROPOSÉ</t>
        </is>
      </c>
      <c r="O657" s="11">
        <f>IF(M657="","",M657-L657)</f>
        <v/>
      </c>
      <c r="P657" s="12">
        <f>IF(OR(M657="",M657=0),"",(M657-L657)/M657)</f>
        <v/>
      </c>
      <c r="Q657" s="13">
        <f>IF(OR(M657="",L657=0,L657=""),"",M657/L657)</f>
        <v/>
      </c>
      <c r="R657" s="11">
        <f>IF(M657="","",M657*1.055)</f>
        <v/>
      </c>
      <c r="S657" s="14" t="n"/>
      <c r="T657" s="15" t="n"/>
    </row>
    <row r="658">
      <c r="A658" s="6" t="inlineStr">
        <is>
          <t>PROD-0202</t>
        </is>
      </c>
      <c r="B658" s="6" t="inlineStr">
        <is>
          <t>Rillettes de hareng à la tomate 90 grs</t>
        </is>
      </c>
      <c r="C658" s="6" t="inlineStr">
        <is>
          <t>TRAITEUR_MER</t>
        </is>
      </c>
      <c r="D658" s="6" t="inlineStr">
        <is>
          <t>PRODUIT_DE_LA_MER</t>
        </is>
      </c>
      <c r="E658" s="6" t="inlineStr">
        <is>
          <t>ESSENTIEL</t>
        </is>
      </c>
      <c r="F658" s="6" t="inlineStr">
        <is>
          <t>MAISON SAINT LO</t>
        </is>
      </c>
      <c r="G658" s="6" t="inlineStr">
        <is>
          <t>NORMAND DIRECT TERROIR</t>
        </is>
      </c>
      <c r="H658" s="6" t="inlineStr"/>
      <c r="I658" s="6" t="inlineStr">
        <is>
          <t>90 g</t>
        </is>
      </c>
      <c r="J658" s="6" t="inlineStr">
        <is>
          <t>NON</t>
        </is>
      </c>
      <c r="K658" s="7" t="inlineStr">
        <is>
          <t>5.5 %</t>
        </is>
      </c>
      <c r="L658" s="8" t="n">
        <v>3.2</v>
      </c>
      <c r="M658" s="9" t="n">
        <v>7</v>
      </c>
      <c r="N658" s="10" t="inlineStr">
        <is>
          <t>PROPOSÉ</t>
        </is>
      </c>
      <c r="O658" s="11">
        <f>IF(M658="","",M658-L658)</f>
        <v/>
      </c>
      <c r="P658" s="12">
        <f>IF(OR(M658="",M658=0),"",(M658-L658)/M658)</f>
        <v/>
      </c>
      <c r="Q658" s="13">
        <f>IF(OR(M658="",L658=0,L658=""),"",M658/L658)</f>
        <v/>
      </c>
      <c r="R658" s="11">
        <f>IF(M658="","",M658*1.055)</f>
        <v/>
      </c>
      <c r="S658" s="14" t="n"/>
      <c r="T658" s="15" t="n"/>
    </row>
    <row r="659">
      <c r="A659" s="16" t="inlineStr">
        <is>
          <t>PROD-0204</t>
        </is>
      </c>
      <c r="B659" s="16" t="inlineStr">
        <is>
          <t>Rillettes de sardine 90 grs</t>
        </is>
      </c>
      <c r="C659" s="16" t="inlineStr">
        <is>
          <t>TRAITEUR_MER</t>
        </is>
      </c>
      <c r="D659" s="16" t="inlineStr">
        <is>
          <t>PRODUIT_DE_LA_MER</t>
        </is>
      </c>
      <c r="E659" s="16" t="inlineStr">
        <is>
          <t>ESSENTIEL</t>
        </is>
      </c>
      <c r="F659" s="16" t="inlineStr">
        <is>
          <t>MAISON SAINT LO</t>
        </is>
      </c>
      <c r="G659" s="16" t="inlineStr">
        <is>
          <t>NORMAND DIRECT TERROIR</t>
        </is>
      </c>
      <c r="H659" s="16" t="inlineStr"/>
      <c r="I659" s="16" t="inlineStr">
        <is>
          <t>90 g</t>
        </is>
      </c>
      <c r="J659" s="16" t="inlineStr">
        <is>
          <t>NON</t>
        </is>
      </c>
      <c r="K659" s="17" t="inlineStr">
        <is>
          <t>5.5 %</t>
        </is>
      </c>
      <c r="L659" s="18" t="n">
        <v>3.2</v>
      </c>
      <c r="M659" s="9" t="n">
        <v>7</v>
      </c>
      <c r="N659" s="10" t="inlineStr">
        <is>
          <t>PROPOSÉ</t>
        </is>
      </c>
      <c r="O659" s="11">
        <f>IF(M659="","",M659-L659)</f>
        <v/>
      </c>
      <c r="P659" s="12">
        <f>IF(OR(M659="",M659=0),"",(M659-L659)/M659)</f>
        <v/>
      </c>
      <c r="Q659" s="13">
        <f>IF(OR(M659="",L659=0,L659=""),"",M659/L659)</f>
        <v/>
      </c>
      <c r="R659" s="11">
        <f>IF(M659="","",M659*1.055)</f>
        <v/>
      </c>
      <c r="S659" s="14" t="n"/>
      <c r="T659" s="15" t="n"/>
    </row>
    <row r="660">
      <c r="A660" s="6" t="inlineStr">
        <is>
          <t>PROD-0205</t>
        </is>
      </c>
      <c r="B660" s="6" t="inlineStr">
        <is>
          <t>Rillettes de sardine aux olives 90 grs</t>
        </is>
      </c>
      <c r="C660" s="6" t="inlineStr">
        <is>
          <t>TRAITEUR_MER</t>
        </is>
      </c>
      <c r="D660" s="6" t="inlineStr">
        <is>
          <t>PRODUIT_DE_LA_MER</t>
        </is>
      </c>
      <c r="E660" s="6" t="inlineStr">
        <is>
          <t>ESSENTIEL</t>
        </is>
      </c>
      <c r="F660" s="6" t="inlineStr">
        <is>
          <t>MAISON SAINT LO</t>
        </is>
      </c>
      <c r="G660" s="6" t="inlineStr">
        <is>
          <t>NORMAND DIRECT TERROIR</t>
        </is>
      </c>
      <c r="H660" s="6" t="inlineStr"/>
      <c r="I660" s="6" t="inlineStr">
        <is>
          <t>90 g</t>
        </is>
      </c>
      <c r="J660" s="6" t="inlineStr">
        <is>
          <t>NON</t>
        </is>
      </c>
      <c r="K660" s="7" t="inlineStr">
        <is>
          <t>5.5 %</t>
        </is>
      </c>
      <c r="L660" s="8" t="n">
        <v>3.2</v>
      </c>
      <c r="M660" s="9" t="n">
        <v>7</v>
      </c>
      <c r="N660" s="10" t="inlineStr">
        <is>
          <t>PROPOSÉ</t>
        </is>
      </c>
      <c r="O660" s="11">
        <f>IF(M660="","",M660-L660)</f>
        <v/>
      </c>
      <c r="P660" s="12">
        <f>IF(OR(M660="",M660=0),"",(M660-L660)/M660)</f>
        <v/>
      </c>
      <c r="Q660" s="13">
        <f>IF(OR(M660="",L660=0,L660=""),"",M660/L660)</f>
        <v/>
      </c>
      <c r="R660" s="11">
        <f>IF(M660="","",M660*1.055)</f>
        <v/>
      </c>
      <c r="S660" s="14" t="n"/>
      <c r="T660" s="15" t="n"/>
    </row>
    <row r="661">
      <c r="A661" s="16" t="inlineStr">
        <is>
          <t>PROD-0206</t>
        </is>
      </c>
      <c r="B661" s="16" t="inlineStr">
        <is>
          <t>Rillettes de saumon 90 grs/12</t>
        </is>
      </c>
      <c r="C661" s="16" t="inlineStr">
        <is>
          <t>TRAITEUR_MER</t>
        </is>
      </c>
      <c r="D661" s="16" t="inlineStr">
        <is>
          <t>PRODUIT_DE_LA_MER</t>
        </is>
      </c>
      <c r="E661" s="16" t="inlineStr">
        <is>
          <t>ESSENTIEL</t>
        </is>
      </c>
      <c r="F661" s="16" t="inlineStr">
        <is>
          <t>MAISON SAINT LO</t>
        </is>
      </c>
      <c r="G661" s="16" t="inlineStr">
        <is>
          <t>NORMAND DIRECT TERROIR</t>
        </is>
      </c>
      <c r="H661" s="16" t="inlineStr"/>
      <c r="I661" s="16" t="inlineStr">
        <is>
          <t>90 g</t>
        </is>
      </c>
      <c r="J661" s="16" t="inlineStr">
        <is>
          <t>NON</t>
        </is>
      </c>
      <c r="K661" s="17" t="inlineStr">
        <is>
          <t>5.5 %</t>
        </is>
      </c>
      <c r="L661" s="18" t="n">
        <v>3.2</v>
      </c>
      <c r="M661" s="9" t="n">
        <v>7</v>
      </c>
      <c r="N661" s="10" t="inlineStr">
        <is>
          <t>PROPOSÉ</t>
        </is>
      </c>
      <c r="O661" s="11">
        <f>IF(M661="","",M661-L661)</f>
        <v/>
      </c>
      <c r="P661" s="12">
        <f>IF(OR(M661="",M661=0),"",(M661-L661)/M661)</f>
        <v/>
      </c>
      <c r="Q661" s="13">
        <f>IF(OR(M661="",L661=0,L661=""),"",M661/L661)</f>
        <v/>
      </c>
      <c r="R661" s="11">
        <f>IF(M661="","",M661*1.055)</f>
        <v/>
      </c>
      <c r="S661" s="14" t="n"/>
      <c r="T661" s="15" t="n"/>
    </row>
    <row r="662">
      <c r="A662" s="6" t="inlineStr">
        <is>
          <t>PROD-0207</t>
        </is>
      </c>
      <c r="B662" s="6" t="inlineStr">
        <is>
          <t>Rillettes de saumon à l'aneth fraîche 90 grs</t>
        </is>
      </c>
      <c r="C662" s="6" t="inlineStr">
        <is>
          <t>TRAITEUR_MER</t>
        </is>
      </c>
      <c r="D662" s="6" t="inlineStr">
        <is>
          <t>PRODUIT_DE_LA_MER</t>
        </is>
      </c>
      <c r="E662" s="6" t="inlineStr">
        <is>
          <t>ESSENTIEL</t>
        </is>
      </c>
      <c r="F662" s="6" t="inlineStr">
        <is>
          <t>MAISON SAINT LO</t>
        </is>
      </c>
      <c r="G662" s="6" t="inlineStr">
        <is>
          <t>NORMAND DIRECT TERROIR</t>
        </is>
      </c>
      <c r="H662" s="6" t="inlineStr"/>
      <c r="I662" s="6" t="inlineStr">
        <is>
          <t>90 g</t>
        </is>
      </c>
      <c r="J662" s="6" t="inlineStr">
        <is>
          <t>NON</t>
        </is>
      </c>
      <c r="K662" s="7" t="inlineStr">
        <is>
          <t>5.5 %</t>
        </is>
      </c>
      <c r="L662" s="8" t="n">
        <v>3.2</v>
      </c>
      <c r="M662" s="9" t="n">
        <v>7</v>
      </c>
      <c r="N662" s="10" t="inlineStr">
        <is>
          <t>PROPOSÉ</t>
        </is>
      </c>
      <c r="O662" s="11">
        <f>IF(M662="","",M662-L662)</f>
        <v/>
      </c>
      <c r="P662" s="12">
        <f>IF(OR(M662="",M662=0),"",(M662-L662)/M662)</f>
        <v/>
      </c>
      <c r="Q662" s="13">
        <f>IF(OR(M662="",L662=0,L662=""),"",M662/L662)</f>
        <v/>
      </c>
      <c r="R662" s="11">
        <f>IF(M662="","",M662*1.055)</f>
        <v/>
      </c>
      <c r="S662" s="14" t="n"/>
      <c r="T662" s="15" t="n"/>
    </row>
    <row r="663">
      <c r="A663" s="16" t="inlineStr">
        <is>
          <t>PROD-0209</t>
        </is>
      </c>
      <c r="B663" s="16" t="inlineStr">
        <is>
          <t>Rillettes de truite 90 grs</t>
        </is>
      </c>
      <c r="C663" s="16" t="inlineStr">
        <is>
          <t>TRAITEUR_MER</t>
        </is>
      </c>
      <c r="D663" s="16" t="inlineStr">
        <is>
          <t>PRODUIT_DE_LA_MER</t>
        </is>
      </c>
      <c r="E663" s="16" t="inlineStr">
        <is>
          <t>ESSENTIEL</t>
        </is>
      </c>
      <c r="F663" s="16" t="inlineStr">
        <is>
          <t>MAISON SAINT LO</t>
        </is>
      </c>
      <c r="G663" s="16" t="inlineStr">
        <is>
          <t>NORMAND DIRECT TERROIR</t>
        </is>
      </c>
      <c r="H663" s="16" t="inlineStr"/>
      <c r="I663" s="16" t="inlineStr">
        <is>
          <t>90 g</t>
        </is>
      </c>
      <c r="J663" s="16" t="inlineStr">
        <is>
          <t>NON</t>
        </is>
      </c>
      <c r="K663" s="17" t="inlineStr">
        <is>
          <t>5.5 %</t>
        </is>
      </c>
      <c r="L663" s="18" t="n">
        <v>3.2</v>
      </c>
      <c r="M663" s="9" t="n">
        <v>7</v>
      </c>
      <c r="N663" s="10" t="inlineStr">
        <is>
          <t>PROPOSÉ</t>
        </is>
      </c>
      <c r="O663" s="11">
        <f>IF(M663="","",M663-L663)</f>
        <v/>
      </c>
      <c r="P663" s="12">
        <f>IF(OR(M663="",M663=0),"",(M663-L663)/M663)</f>
        <v/>
      </c>
      <c r="Q663" s="13">
        <f>IF(OR(M663="",L663=0,L663=""),"",M663/L663)</f>
        <v/>
      </c>
      <c r="R663" s="11">
        <f>IF(M663="","",M663*1.055)</f>
        <v/>
      </c>
      <c r="S663" s="14" t="n"/>
      <c r="T663" s="15" t="n"/>
    </row>
    <row r="664">
      <c r="A664" s="6" t="inlineStr">
        <is>
          <t>PROD-0210</t>
        </is>
      </c>
      <c r="B664" s="6" t="inlineStr">
        <is>
          <t>Rillettes de truite à l'aneth fraîche 90 grs</t>
        </is>
      </c>
      <c r="C664" s="6" t="inlineStr">
        <is>
          <t>TRAITEUR_MER</t>
        </is>
      </c>
      <c r="D664" s="6" t="inlineStr">
        <is>
          <t>PRODUIT_DE_LA_MER</t>
        </is>
      </c>
      <c r="E664" s="6" t="inlineStr">
        <is>
          <t>ESSENTIEL</t>
        </is>
      </c>
      <c r="F664" s="6" t="inlineStr">
        <is>
          <t>MAISON SAINT LO</t>
        </is>
      </c>
      <c r="G664" s="6" t="inlineStr">
        <is>
          <t>NORMAND DIRECT TERROIR</t>
        </is>
      </c>
      <c r="H664" s="6" t="inlineStr"/>
      <c r="I664" s="6" t="inlineStr">
        <is>
          <t>90 g</t>
        </is>
      </c>
      <c r="J664" s="6" t="inlineStr">
        <is>
          <t>NON</t>
        </is>
      </c>
      <c r="K664" s="7" t="inlineStr">
        <is>
          <t>5.5 %</t>
        </is>
      </c>
      <c r="L664" s="8" t="n">
        <v>3.2</v>
      </c>
      <c r="M664" s="9" t="n">
        <v>7</v>
      </c>
      <c r="N664" s="10" t="inlineStr">
        <is>
          <t>PROPOSÉ</t>
        </is>
      </c>
      <c r="O664" s="11">
        <f>IF(M664="","",M664-L664)</f>
        <v/>
      </c>
      <c r="P664" s="12">
        <f>IF(OR(M664="",M664=0),"",(M664-L664)/M664)</f>
        <v/>
      </c>
      <c r="Q664" s="13">
        <f>IF(OR(M664="",L664=0,L664=""),"",M664/L664)</f>
        <v/>
      </c>
      <c r="R664" s="11">
        <f>IF(M664="","",M664*1.055)</f>
        <v/>
      </c>
      <c r="S664" s="14" t="n"/>
      <c r="T664" s="15" t="n"/>
    </row>
    <row r="665">
      <c r="A665" s="16" t="inlineStr">
        <is>
          <t>PROD-0212</t>
        </is>
      </c>
      <c r="B665" s="16" t="inlineStr">
        <is>
          <t>Rillettes lieu andouille de Vire 90 grs</t>
        </is>
      </c>
      <c r="C665" s="16" t="inlineStr">
        <is>
          <t>TRAITEUR_MER</t>
        </is>
      </c>
      <c r="D665" s="16" t="inlineStr">
        <is>
          <t>PRODUIT_DE_LA_MER</t>
        </is>
      </c>
      <c r="E665" s="16" t="inlineStr">
        <is>
          <t>ESSENTIEL</t>
        </is>
      </c>
      <c r="F665" s="16" t="inlineStr">
        <is>
          <t>MAISON SAINT LO</t>
        </is>
      </c>
      <c r="G665" s="16" t="inlineStr">
        <is>
          <t>NORMAND DIRECT TERROIR</t>
        </is>
      </c>
      <c r="H665" s="16" t="inlineStr"/>
      <c r="I665" s="16" t="inlineStr">
        <is>
          <t>90 g</t>
        </is>
      </c>
      <c r="J665" s="16" t="inlineStr">
        <is>
          <t>NON</t>
        </is>
      </c>
      <c r="K665" s="17" t="inlineStr">
        <is>
          <t>5.5 %</t>
        </is>
      </c>
      <c r="L665" s="18" t="n">
        <v>3.2</v>
      </c>
      <c r="M665" s="9" t="n">
        <v>7</v>
      </c>
      <c r="N665" s="10" t="inlineStr">
        <is>
          <t>PROPOSÉ</t>
        </is>
      </c>
      <c r="O665" s="11">
        <f>IF(M665="","",M665-L665)</f>
        <v/>
      </c>
      <c r="P665" s="12">
        <f>IF(OR(M665="",M665=0),"",(M665-L665)/M665)</f>
        <v/>
      </c>
      <c r="Q665" s="13">
        <f>IF(OR(M665="",L665=0,L665=""),"",M665/L665)</f>
        <v/>
      </c>
      <c r="R665" s="11">
        <f>IF(M665="","",M665*1.055)</f>
        <v/>
      </c>
      <c r="S665" s="14" t="n"/>
      <c r="T665" s="15" t="n"/>
    </row>
    <row r="666">
      <c r="A666" s="6" t="inlineStr">
        <is>
          <t>PROD-0213</t>
        </is>
      </c>
      <c r="B666" s="6" t="inlineStr">
        <is>
          <t>rillettes sardine à la tomate 90 grs</t>
        </is>
      </c>
      <c r="C666" s="6" t="inlineStr">
        <is>
          <t>TRAITEUR_MER</t>
        </is>
      </c>
      <c r="D666" s="6" t="inlineStr">
        <is>
          <t>PRODUIT_DE_LA_MER</t>
        </is>
      </c>
      <c r="E666" s="6" t="inlineStr">
        <is>
          <t>ESSENTIEL</t>
        </is>
      </c>
      <c r="F666" s="6" t="inlineStr">
        <is>
          <t>MAISON SAINT LO</t>
        </is>
      </c>
      <c r="G666" s="6" t="inlineStr">
        <is>
          <t>NORMAND DIRECT TERROIR</t>
        </is>
      </c>
      <c r="H666" s="6" t="inlineStr"/>
      <c r="I666" s="6" t="inlineStr">
        <is>
          <t>90 g</t>
        </is>
      </c>
      <c r="J666" s="6" t="inlineStr">
        <is>
          <t>NON</t>
        </is>
      </c>
      <c r="K666" s="7" t="inlineStr">
        <is>
          <t>5.5 %</t>
        </is>
      </c>
      <c r="L666" s="8" t="n">
        <v>3.2</v>
      </c>
      <c r="M666" s="9" t="n">
        <v>7</v>
      </c>
      <c r="N666" s="10" t="inlineStr">
        <is>
          <t>PROPOSÉ</t>
        </is>
      </c>
      <c r="O666" s="11">
        <f>IF(M666="","",M666-L666)</f>
        <v/>
      </c>
      <c r="P666" s="12">
        <f>IF(OR(M666="",M666=0),"",(M666-L666)/M666)</f>
        <v/>
      </c>
      <c r="Q666" s="13">
        <f>IF(OR(M666="",L666=0,L666=""),"",M666/L666)</f>
        <v/>
      </c>
      <c r="R666" s="11">
        <f>IF(M666="","",M666*1.055)</f>
        <v/>
      </c>
      <c r="S666" s="14" t="n"/>
      <c r="T666" s="15" t="n"/>
    </row>
    <row r="667">
      <c r="A667" s="16" t="inlineStr">
        <is>
          <t>PROD-0215</t>
        </is>
      </c>
      <c r="B667" s="16" t="inlineStr">
        <is>
          <t>Rillettes saumon à l'andouille de Vire 90 grs</t>
        </is>
      </c>
      <c r="C667" s="16" t="inlineStr">
        <is>
          <t>TRAITEUR_MER</t>
        </is>
      </c>
      <c r="D667" s="16" t="inlineStr">
        <is>
          <t>PRODUIT_DE_LA_MER</t>
        </is>
      </c>
      <c r="E667" s="16" t="inlineStr">
        <is>
          <t>ESSENTIEL</t>
        </is>
      </c>
      <c r="F667" s="16" t="inlineStr">
        <is>
          <t>MAISON SAINT LO</t>
        </is>
      </c>
      <c r="G667" s="16" t="inlineStr">
        <is>
          <t>NORMAND DIRECT TERROIR</t>
        </is>
      </c>
      <c r="H667" s="16" t="inlineStr"/>
      <c r="I667" s="16" t="inlineStr">
        <is>
          <t>90 g</t>
        </is>
      </c>
      <c r="J667" s="16" t="inlineStr">
        <is>
          <t>NON</t>
        </is>
      </c>
      <c r="K667" s="17" t="inlineStr">
        <is>
          <t>5.5 %</t>
        </is>
      </c>
      <c r="L667" s="18" t="n">
        <v>3.2</v>
      </c>
      <c r="M667" s="9" t="n">
        <v>7</v>
      </c>
      <c r="N667" s="10" t="inlineStr">
        <is>
          <t>PROPOSÉ</t>
        </is>
      </c>
      <c r="O667" s="11">
        <f>IF(M667="","",M667-L667)</f>
        <v/>
      </c>
      <c r="P667" s="12">
        <f>IF(OR(M667="",M667=0),"",(M667-L667)/M667)</f>
        <v/>
      </c>
      <c r="Q667" s="13">
        <f>IF(OR(M667="",L667=0,L667=""),"",M667/L667)</f>
        <v/>
      </c>
      <c r="R667" s="11">
        <f>IF(M667="","",M667*1.055)</f>
        <v/>
      </c>
      <c r="S667" s="14" t="n"/>
      <c r="T667" s="15" t="n"/>
    </row>
    <row r="668">
      <c r="A668" s="6" t="inlineStr">
        <is>
          <t>PROD-0216</t>
        </is>
      </c>
      <c r="B668" s="6" t="inlineStr">
        <is>
          <t>Rillettes saumon au curry 90 grs</t>
        </is>
      </c>
      <c r="C668" s="6" t="inlineStr">
        <is>
          <t>TRAITEUR_MER</t>
        </is>
      </c>
      <c r="D668" s="6" t="inlineStr">
        <is>
          <t>PRODUIT_DE_LA_MER</t>
        </is>
      </c>
      <c r="E668" s="6" t="inlineStr">
        <is>
          <t>ESSENTIEL</t>
        </is>
      </c>
      <c r="F668" s="6" t="inlineStr">
        <is>
          <t>MAISON SAINT LO</t>
        </is>
      </c>
      <c r="G668" s="6" t="inlineStr">
        <is>
          <t>NORMAND DIRECT TERROIR</t>
        </is>
      </c>
      <c r="H668" s="6" t="inlineStr"/>
      <c r="I668" s="6" t="inlineStr">
        <is>
          <t>90 g</t>
        </is>
      </c>
      <c r="J668" s="6" t="inlineStr">
        <is>
          <t>NON</t>
        </is>
      </c>
      <c r="K668" s="7" t="inlineStr">
        <is>
          <t>5.5 %</t>
        </is>
      </c>
      <c r="L668" s="8" t="n">
        <v>3.2</v>
      </c>
      <c r="M668" s="9" t="n">
        <v>7</v>
      </c>
      <c r="N668" s="10" t="inlineStr">
        <is>
          <t>PROPOSÉ</t>
        </is>
      </c>
      <c r="O668" s="11">
        <f>IF(M668="","",M668-L668)</f>
        <v/>
      </c>
      <c r="P668" s="12">
        <f>IF(OR(M668="",M668=0),"",(M668-L668)/M668)</f>
        <v/>
      </c>
      <c r="Q668" s="13">
        <f>IF(OR(M668="",L668=0,L668=""),"",M668/L668)</f>
        <v/>
      </c>
      <c r="R668" s="11">
        <f>IF(M668="","",M668*1.055)</f>
        <v/>
      </c>
      <c r="S668" s="14" t="n"/>
      <c r="T668" s="15" t="n"/>
    </row>
    <row r="669">
      <c r="A669" s="16" t="inlineStr">
        <is>
          <t>PROD-0217</t>
        </is>
      </c>
      <c r="B669" s="16" t="inlineStr">
        <is>
          <t>Rillettes saumon camembert 90 grs</t>
        </is>
      </c>
      <c r="C669" s="16" t="inlineStr">
        <is>
          <t>TRAITEUR_MER</t>
        </is>
      </c>
      <c r="D669" s="16" t="inlineStr">
        <is>
          <t>PRODUIT_DE_LA_MER</t>
        </is>
      </c>
      <c r="E669" s="16" t="inlineStr">
        <is>
          <t>ESSENTIEL</t>
        </is>
      </c>
      <c r="F669" s="16" t="inlineStr">
        <is>
          <t>MAISON SAINT LO</t>
        </is>
      </c>
      <c r="G669" s="16" t="inlineStr">
        <is>
          <t>NORMAND DIRECT TERROIR</t>
        </is>
      </c>
      <c r="H669" s="16" t="inlineStr"/>
      <c r="I669" s="16" t="inlineStr">
        <is>
          <t>90 g</t>
        </is>
      </c>
      <c r="J669" s="16" t="inlineStr">
        <is>
          <t>NON</t>
        </is>
      </c>
      <c r="K669" s="17" t="inlineStr">
        <is>
          <t>5.5 %</t>
        </is>
      </c>
      <c r="L669" s="18" t="n">
        <v>3.2</v>
      </c>
      <c r="M669" s="9" t="n">
        <v>7</v>
      </c>
      <c r="N669" s="10" t="inlineStr">
        <is>
          <t>PROPOSÉ</t>
        </is>
      </c>
      <c r="O669" s="11">
        <f>IF(M669="","",M669-L669)</f>
        <v/>
      </c>
      <c r="P669" s="12">
        <f>IF(OR(M669="",M669=0),"",(M669-L669)/M669)</f>
        <v/>
      </c>
      <c r="Q669" s="13">
        <f>IF(OR(M669="",L669=0,L669=""),"",M669/L669)</f>
        <v/>
      </c>
      <c r="R669" s="11">
        <f>IF(M669="","",M669*1.055)</f>
        <v/>
      </c>
      <c r="S669" s="14" t="n"/>
      <c r="T669" s="15" t="n"/>
    </row>
    <row r="670">
      <c r="A670" s="6" t="inlineStr">
        <is>
          <t>PROD-0218</t>
        </is>
      </c>
      <c r="B670" s="6" t="inlineStr">
        <is>
          <t>Rillettes saumon chèvre 90 grs</t>
        </is>
      </c>
      <c r="C670" s="6" t="inlineStr">
        <is>
          <t>TRAITEUR_MER</t>
        </is>
      </c>
      <c r="D670" s="6" t="inlineStr">
        <is>
          <t>PRODUIT_DE_LA_MER</t>
        </is>
      </c>
      <c r="E670" s="6" t="inlineStr">
        <is>
          <t>ESSENTIEL</t>
        </is>
      </c>
      <c r="F670" s="6" t="inlineStr">
        <is>
          <t>MAISON SAINT LO</t>
        </is>
      </c>
      <c r="G670" s="6" t="inlineStr">
        <is>
          <t>NORMAND DIRECT TERROIR</t>
        </is>
      </c>
      <c r="H670" s="6" t="inlineStr"/>
      <c r="I670" s="6" t="inlineStr">
        <is>
          <t>90 g</t>
        </is>
      </c>
      <c r="J670" s="6" t="inlineStr">
        <is>
          <t>NON</t>
        </is>
      </c>
      <c r="K670" s="7" t="inlineStr">
        <is>
          <t>5.5 %</t>
        </is>
      </c>
      <c r="L670" s="8" t="n">
        <v>3.2</v>
      </c>
      <c r="M670" s="9" t="n">
        <v>7</v>
      </c>
      <c r="N670" s="10" t="inlineStr">
        <is>
          <t>PROPOSÉ</t>
        </is>
      </c>
      <c r="O670" s="11">
        <f>IF(M670="","",M670-L670)</f>
        <v/>
      </c>
      <c r="P670" s="12">
        <f>IF(OR(M670="",M670=0),"",(M670-L670)/M670)</f>
        <v/>
      </c>
      <c r="Q670" s="13">
        <f>IF(OR(M670="",L670=0,L670=""),"",M670/L670)</f>
        <v/>
      </c>
      <c r="R670" s="11">
        <f>IF(M670="","",M670*1.055)</f>
        <v/>
      </c>
      <c r="S670" s="14" t="n"/>
      <c r="T670" s="15" t="n"/>
    </row>
    <row r="671">
      <c r="A671" s="16" t="inlineStr">
        <is>
          <t>PROD-0219</t>
        </is>
      </c>
      <c r="B671" s="16" t="inlineStr">
        <is>
          <t>Mousse de saumon 90 grs</t>
        </is>
      </c>
      <c r="C671" s="16" t="inlineStr">
        <is>
          <t>TRAITEUR_MER</t>
        </is>
      </c>
      <c r="D671" s="16" t="inlineStr">
        <is>
          <t>PRODUIT_DE_LA_MER</t>
        </is>
      </c>
      <c r="E671" s="16" t="inlineStr">
        <is>
          <t>ESSENTIEL</t>
        </is>
      </c>
      <c r="F671" s="16" t="inlineStr">
        <is>
          <t>MAISON SAINT LO</t>
        </is>
      </c>
      <c r="G671" s="16" t="inlineStr">
        <is>
          <t>NORMAND DIRECT TERROIR</t>
        </is>
      </c>
      <c r="H671" s="16" t="inlineStr"/>
      <c r="I671" s="16" t="inlineStr">
        <is>
          <t>90 g</t>
        </is>
      </c>
      <c r="J671" s="16" t="inlineStr">
        <is>
          <t>NON</t>
        </is>
      </c>
      <c r="K671" s="17" t="inlineStr">
        <is>
          <t>5.5 %</t>
        </is>
      </c>
      <c r="L671" s="18" t="n">
        <v>3.2</v>
      </c>
      <c r="M671" s="9" t="n">
        <v>7</v>
      </c>
      <c r="N671" s="10" t="inlineStr">
        <is>
          <t>PROPOSÉ</t>
        </is>
      </c>
      <c r="O671" s="11">
        <f>IF(M671="","",M671-L671)</f>
        <v/>
      </c>
      <c r="P671" s="12">
        <f>IF(OR(M671="",M671=0),"",(M671-L671)/M671)</f>
        <v/>
      </c>
      <c r="Q671" s="13">
        <f>IF(OR(M671="",L671=0,L671=""),"",M671/L671)</f>
        <v/>
      </c>
      <c r="R671" s="11">
        <f>IF(M671="","",M671*1.055)</f>
        <v/>
      </c>
      <c r="S671" s="14" t="n"/>
      <c r="T671" s="15" t="n"/>
    </row>
    <row r="672">
      <c r="A672" s="6" t="inlineStr">
        <is>
          <t>PROD-0220</t>
        </is>
      </c>
      <c r="B672" s="6" t="inlineStr">
        <is>
          <t>Mousse de truite 90 grs</t>
        </is>
      </c>
      <c r="C672" s="6" t="inlineStr">
        <is>
          <t>TRAITEUR_MER</t>
        </is>
      </c>
      <c r="D672" s="6" t="inlineStr">
        <is>
          <t>PRODUIT_DE_LA_MER</t>
        </is>
      </c>
      <c r="E672" s="6" t="inlineStr">
        <is>
          <t>ESSENTIEL</t>
        </is>
      </c>
      <c r="F672" s="6" t="inlineStr">
        <is>
          <t>MAISON SAINT LO</t>
        </is>
      </c>
      <c r="G672" s="6" t="inlineStr">
        <is>
          <t>NORMAND DIRECT TERROIR</t>
        </is>
      </c>
      <c r="H672" s="6" t="inlineStr"/>
      <c r="I672" s="6" t="inlineStr">
        <is>
          <t>90 g</t>
        </is>
      </c>
      <c r="J672" s="6" t="inlineStr">
        <is>
          <t>NON</t>
        </is>
      </c>
      <c r="K672" s="7" t="inlineStr">
        <is>
          <t>5.5 %</t>
        </is>
      </c>
      <c r="L672" s="8" t="n">
        <v>3.2</v>
      </c>
      <c r="M672" s="9" t="n">
        <v>7</v>
      </c>
      <c r="N672" s="10" t="inlineStr">
        <is>
          <t>PROPOSÉ</t>
        </is>
      </c>
      <c r="O672" s="11">
        <f>IF(M672="","",M672-L672)</f>
        <v/>
      </c>
      <c r="P672" s="12">
        <f>IF(OR(M672="",M672=0),"",(M672-L672)/M672)</f>
        <v/>
      </c>
      <c r="Q672" s="13">
        <f>IF(OR(M672="",L672=0,L672=""),"",M672/L672)</f>
        <v/>
      </c>
      <c r="R672" s="11">
        <f>IF(M672="","",M672*1.055)</f>
        <v/>
      </c>
      <c r="S672" s="14" t="n"/>
      <c r="T672" s="15" t="n"/>
    </row>
    <row r="673">
      <c r="A673" s="16" t="inlineStr">
        <is>
          <t>PROD-0221</t>
        </is>
      </c>
      <c r="B673" s="16" t="inlineStr">
        <is>
          <t>Rouille 85 grs</t>
        </is>
      </c>
      <c r="C673" s="16" t="inlineStr">
        <is>
          <t>TRAITEUR_MER</t>
        </is>
      </c>
      <c r="D673" s="16" t="inlineStr">
        <is>
          <t>SOUPE_ET_BISQUE</t>
        </is>
      </c>
      <c r="E673" s="16" t="inlineStr">
        <is>
          <t>ESSENTIEL</t>
        </is>
      </c>
      <c r="F673" s="16" t="inlineStr">
        <is>
          <t>MAISON SAINT LO</t>
        </is>
      </c>
      <c r="G673" s="16" t="inlineStr">
        <is>
          <t>NORMAND DIRECT TERROIR</t>
        </is>
      </c>
      <c r="H673" s="16" t="inlineStr"/>
      <c r="I673" s="16" t="inlineStr">
        <is>
          <t>85 g</t>
        </is>
      </c>
      <c r="J673" s="16" t="inlineStr">
        <is>
          <t>NON</t>
        </is>
      </c>
      <c r="K673" s="17" t="inlineStr">
        <is>
          <t>5.5 %</t>
        </is>
      </c>
      <c r="L673" s="18" t="n">
        <v>2.8</v>
      </c>
      <c r="M673" s="9" t="n">
        <v>6.8</v>
      </c>
      <c r="N673" s="10" t="inlineStr">
        <is>
          <t>PROPOSÉ</t>
        </is>
      </c>
      <c r="O673" s="11">
        <f>IF(M673="","",M673-L673)</f>
        <v/>
      </c>
      <c r="P673" s="12">
        <f>IF(OR(M673="",M673=0),"",(M673-L673)/M673)</f>
        <v/>
      </c>
      <c r="Q673" s="13">
        <f>IF(OR(M673="",L673=0,L673=""),"",M673/L673)</f>
        <v/>
      </c>
      <c r="R673" s="11">
        <f>IF(M673="","",M673*1.055)</f>
        <v/>
      </c>
      <c r="S673" s="14" t="n"/>
      <c r="T673" s="15" t="n"/>
    </row>
    <row r="674">
      <c r="A674" s="6" t="inlineStr">
        <is>
          <t>PROD-0129</t>
        </is>
      </c>
      <c r="B674" s="6" t="inlineStr">
        <is>
          <t>Soupe d'étrilles 50 cl</t>
        </is>
      </c>
      <c r="C674" s="6" t="inlineStr">
        <is>
          <t>TRAITEUR_MER</t>
        </is>
      </c>
      <c r="D674" s="6" t="inlineStr">
        <is>
          <t>SOUPE_ET_BISQUE</t>
        </is>
      </c>
      <c r="E674" s="6" t="inlineStr">
        <is>
          <t>ESSENTIEL</t>
        </is>
      </c>
      <c r="F674" s="6" t="inlineStr">
        <is>
          <t>PÈRE ROUPSARD TRAITEUR</t>
        </is>
      </c>
      <c r="G674" s="6" t="inlineStr">
        <is>
          <t>NORMAND DIRECT TERROIR</t>
        </is>
      </c>
      <c r="H674" s="6" t="inlineStr"/>
      <c r="I674" s="6" t="inlineStr">
        <is>
          <t>500 ml</t>
        </is>
      </c>
      <c r="J674" s="6" t="inlineStr">
        <is>
          <t>NON</t>
        </is>
      </c>
      <c r="K674" s="7" t="inlineStr">
        <is>
          <t>5.5 %</t>
        </is>
      </c>
      <c r="L674" s="8" t="n">
        <v>2.31</v>
      </c>
      <c r="M674" s="9" t="n">
        <v>5.6</v>
      </c>
      <c r="N674" s="10" t="inlineStr">
        <is>
          <t>PROPOSÉ</t>
        </is>
      </c>
      <c r="O674" s="11">
        <f>IF(M674="","",M674-L674)</f>
        <v/>
      </c>
      <c r="P674" s="12">
        <f>IF(OR(M674="",M674=0),"",(M674-L674)/M674)</f>
        <v/>
      </c>
      <c r="Q674" s="13">
        <f>IF(OR(M674="",L674=0,L674=""),"",M674/L674)</f>
        <v/>
      </c>
      <c r="R674" s="11">
        <f>IF(M674="","",M674*1.055)</f>
        <v/>
      </c>
      <c r="S674" s="14" t="n"/>
      <c r="T674" s="15" t="n"/>
    </row>
    <row r="675">
      <c r="A675" s="16" t="inlineStr">
        <is>
          <t>PROD-0131</t>
        </is>
      </c>
      <c r="B675" s="16" t="inlineStr">
        <is>
          <t>Soupe de langoustines 50 cl</t>
        </is>
      </c>
      <c r="C675" s="16" t="inlineStr">
        <is>
          <t>TRAITEUR_MER</t>
        </is>
      </c>
      <c r="D675" s="16" t="inlineStr">
        <is>
          <t>SOUPE_ET_BISQUE</t>
        </is>
      </c>
      <c r="E675" s="16" t="inlineStr">
        <is>
          <t>ESSENTIEL</t>
        </is>
      </c>
      <c r="F675" s="16" t="inlineStr">
        <is>
          <t>PÈRE ROUPSARD TRAITEUR</t>
        </is>
      </c>
      <c r="G675" s="16" t="inlineStr">
        <is>
          <t>NORMAND DIRECT TERROIR</t>
        </is>
      </c>
      <c r="H675" s="16" t="inlineStr"/>
      <c r="I675" s="16" t="inlineStr">
        <is>
          <t>500 ml</t>
        </is>
      </c>
      <c r="J675" s="16" t="inlineStr">
        <is>
          <t>NON</t>
        </is>
      </c>
      <c r="K675" s="17" t="inlineStr">
        <is>
          <t>5.5 %</t>
        </is>
      </c>
      <c r="L675" s="18" t="n">
        <v>2.31</v>
      </c>
      <c r="M675" s="9" t="n">
        <v>5.6</v>
      </c>
      <c r="N675" s="10" t="inlineStr">
        <is>
          <t>PROPOSÉ</t>
        </is>
      </c>
      <c r="O675" s="11">
        <f>IF(M675="","",M675-L675)</f>
        <v/>
      </c>
      <c r="P675" s="12">
        <f>IF(OR(M675="",M675=0),"",(M675-L675)/M675)</f>
        <v/>
      </c>
      <c r="Q675" s="13">
        <f>IF(OR(M675="",L675=0,L675=""),"",M675/L675)</f>
        <v/>
      </c>
      <c r="R675" s="11">
        <f>IF(M675="","",M675*1.055)</f>
        <v/>
      </c>
      <c r="S675" s="14" t="n"/>
      <c r="T675" s="15" t="n"/>
    </row>
    <row r="676">
      <c r="A676" s="6" t="inlineStr">
        <is>
          <t>PROD-0125</t>
        </is>
      </c>
      <c r="B676" s="6" t="inlineStr">
        <is>
          <t>Soupe de poisson 50 cl</t>
        </is>
      </c>
      <c r="C676" s="6" t="inlineStr">
        <is>
          <t>TRAITEUR_MER</t>
        </is>
      </c>
      <c r="D676" s="6" t="inlineStr">
        <is>
          <t>SOUPE_ET_BISQUE</t>
        </is>
      </c>
      <c r="E676" s="6" t="inlineStr">
        <is>
          <t>ESSENTIEL</t>
        </is>
      </c>
      <c r="F676" s="6" t="inlineStr">
        <is>
          <t>PÈRE ROUPSARD TRAITEUR</t>
        </is>
      </c>
      <c r="G676" s="6" t="inlineStr">
        <is>
          <t>NORMAND DIRECT TERROIR</t>
        </is>
      </c>
      <c r="H676" s="6" t="inlineStr"/>
      <c r="I676" s="6" t="inlineStr">
        <is>
          <t>500 ml</t>
        </is>
      </c>
      <c r="J676" s="6" t="inlineStr">
        <is>
          <t>NON</t>
        </is>
      </c>
      <c r="K676" s="7" t="inlineStr">
        <is>
          <t>5.5 %</t>
        </is>
      </c>
      <c r="L676" s="8" t="n">
        <v>2.05</v>
      </c>
      <c r="M676" s="9" t="n">
        <v>5</v>
      </c>
      <c r="N676" s="10" t="inlineStr">
        <is>
          <t>PROPOSÉ</t>
        </is>
      </c>
      <c r="O676" s="11">
        <f>IF(M676="","",M676-L676)</f>
        <v/>
      </c>
      <c r="P676" s="12">
        <f>IF(OR(M676="",M676=0),"",(M676-L676)/M676)</f>
        <v/>
      </c>
      <c r="Q676" s="13">
        <f>IF(OR(M676="",L676=0,L676=""),"",M676/L676)</f>
        <v/>
      </c>
      <c r="R676" s="11">
        <f>IF(M676="","",M676*1.055)</f>
        <v/>
      </c>
      <c r="S676" s="14" t="n"/>
      <c r="T676" s="15" t="n"/>
    </row>
    <row r="677">
      <c r="A677" s="16" t="inlineStr">
        <is>
          <t>PROD-0126</t>
        </is>
      </c>
      <c r="B677" s="16" t="inlineStr">
        <is>
          <t>Velouté de homard 1 litre</t>
        </is>
      </c>
      <c r="C677" s="16" t="inlineStr">
        <is>
          <t>TRAITEUR_MER</t>
        </is>
      </c>
      <c r="D677" s="16" t="inlineStr">
        <is>
          <t>SOUPE_ET_BISQUE</t>
        </is>
      </c>
      <c r="E677" s="16" t="inlineStr">
        <is>
          <t>SIGNATURE</t>
        </is>
      </c>
      <c r="F677" s="16" t="inlineStr">
        <is>
          <t>PÈRE ROUPSARD TRAITEUR</t>
        </is>
      </c>
      <c r="G677" s="16" t="inlineStr">
        <is>
          <t>NORMAND DIRECT TERROIR</t>
        </is>
      </c>
      <c r="H677" s="16" t="inlineStr"/>
      <c r="I677" s="16" t="inlineStr">
        <is>
          <t>1000 ml</t>
        </is>
      </c>
      <c r="J677" s="16" t="inlineStr">
        <is>
          <t>NON</t>
        </is>
      </c>
      <c r="K677" s="17" t="inlineStr">
        <is>
          <t>5.5 %</t>
        </is>
      </c>
      <c r="L677" s="18" t="n">
        <v>5.95</v>
      </c>
      <c r="M677" s="9" t="n">
        <v>13.1</v>
      </c>
      <c r="N677" s="10" t="inlineStr">
        <is>
          <t>PROPOSÉ</t>
        </is>
      </c>
      <c r="O677" s="11">
        <f>IF(M677="","",M677-L677)</f>
        <v/>
      </c>
      <c r="P677" s="12">
        <f>IF(OR(M677="",M677=0),"",(M677-L677)/M677)</f>
        <v/>
      </c>
      <c r="Q677" s="13">
        <f>IF(OR(M677="",L677=0,L677=""),"",M677/L677)</f>
        <v/>
      </c>
      <c r="R677" s="11">
        <f>IF(M677="","",M677*1.055)</f>
        <v/>
      </c>
      <c r="S677" s="14" t="n"/>
      <c r="T677" s="15" t="n"/>
    </row>
    <row r="678">
      <c r="A678" s="6" t="inlineStr">
        <is>
          <t>PROD-0157</t>
        </is>
      </c>
      <c r="B678" s="6" t="inlineStr">
        <is>
          <t>Bisque de homard 480 ml</t>
        </is>
      </c>
      <c r="C678" s="6" t="inlineStr">
        <is>
          <t>TRAITEUR_MER</t>
        </is>
      </c>
      <c r="D678" s="6" t="inlineStr">
        <is>
          <t>SOUPE_ET_BISQUE</t>
        </is>
      </c>
      <c r="E678" s="6" t="inlineStr">
        <is>
          <t>SIGNATURE</t>
        </is>
      </c>
      <c r="F678" s="6" t="inlineStr">
        <is>
          <t>MAISON SAINT LO</t>
        </is>
      </c>
      <c r="G678" s="6" t="inlineStr">
        <is>
          <t>NORMAND DIRECT TERROIR</t>
        </is>
      </c>
      <c r="H678" s="6" t="inlineStr"/>
      <c r="I678" s="6" t="inlineStr">
        <is>
          <t>480 ml</t>
        </is>
      </c>
      <c r="J678" s="6" t="inlineStr">
        <is>
          <t>NON</t>
        </is>
      </c>
      <c r="K678" s="7" t="inlineStr">
        <is>
          <t>5.5 %</t>
        </is>
      </c>
      <c r="L678" s="8" t="n">
        <v>5.9</v>
      </c>
      <c r="M678" s="9" t="n">
        <v>13</v>
      </c>
      <c r="N678" s="10" t="inlineStr">
        <is>
          <t>PROPOSÉ</t>
        </is>
      </c>
      <c r="O678" s="11">
        <f>IF(M678="","",M678-L678)</f>
        <v/>
      </c>
      <c r="P678" s="12">
        <f>IF(OR(M678="",M678=0),"",(M678-L678)/M678)</f>
        <v/>
      </c>
      <c r="Q678" s="13">
        <f>IF(OR(M678="",L678=0,L678=""),"",M678/L678)</f>
        <v/>
      </c>
      <c r="R678" s="11">
        <f>IF(M678="","",M678*1.055)</f>
        <v/>
      </c>
      <c r="S678" s="14" t="n"/>
      <c r="T678" s="15" t="n"/>
    </row>
    <row r="679">
      <c r="A679" s="16" t="inlineStr">
        <is>
          <t>PROD-0158</t>
        </is>
      </c>
      <c r="B679" s="16" t="inlineStr">
        <is>
          <t>Bisque de langoustines 480 ml</t>
        </is>
      </c>
      <c r="C679" s="16" t="inlineStr">
        <is>
          <t>TRAITEUR_MER</t>
        </is>
      </c>
      <c r="D679" s="16" t="inlineStr">
        <is>
          <t>SOUPE_ET_BISQUE</t>
        </is>
      </c>
      <c r="E679" s="16" t="inlineStr">
        <is>
          <t>SIGNATURE</t>
        </is>
      </c>
      <c r="F679" s="16" t="inlineStr">
        <is>
          <t>MAISON SAINT LO</t>
        </is>
      </c>
      <c r="G679" s="16" t="inlineStr">
        <is>
          <t>NORMAND DIRECT TERROIR</t>
        </is>
      </c>
      <c r="H679" s="16" t="inlineStr"/>
      <c r="I679" s="16" t="inlineStr">
        <is>
          <t>480 ml</t>
        </is>
      </c>
      <c r="J679" s="16" t="inlineStr">
        <is>
          <t>NON</t>
        </is>
      </c>
      <c r="K679" s="17" t="inlineStr">
        <is>
          <t>5.5 %</t>
        </is>
      </c>
      <c r="L679" s="18" t="n">
        <v>5.9</v>
      </c>
      <c r="M679" s="9" t="n">
        <v>13</v>
      </c>
      <c r="N679" s="10" t="inlineStr">
        <is>
          <t>PROPOSÉ</t>
        </is>
      </c>
      <c r="O679" s="11">
        <f>IF(M679="","",M679-L679)</f>
        <v/>
      </c>
      <c r="P679" s="12">
        <f>IF(OR(M679="",M679=0),"",(M679-L679)/M679)</f>
        <v/>
      </c>
      <c r="Q679" s="13">
        <f>IF(OR(M679="",L679=0,L679=""),"",M679/L679)</f>
        <v/>
      </c>
      <c r="R679" s="11">
        <f>IF(M679="","",M679*1.055)</f>
        <v/>
      </c>
      <c r="S679" s="14" t="n"/>
      <c r="T679" s="15" t="n"/>
    </row>
    <row r="680">
      <c r="A680" s="6" t="inlineStr">
        <is>
          <t>PROD-0159</t>
        </is>
      </c>
      <c r="B680" s="6" t="inlineStr">
        <is>
          <t>Terrine de haddock fumé 150 grs</t>
        </is>
      </c>
      <c r="C680" s="6" t="inlineStr">
        <is>
          <t>TRAITEUR_MER</t>
        </is>
      </c>
      <c r="D680" s="6" t="inlineStr">
        <is>
          <t>PRODUIT_DE_LA_MER</t>
        </is>
      </c>
      <c r="E680" s="6" t="inlineStr">
        <is>
          <t>SIGNATURE</t>
        </is>
      </c>
      <c r="F680" s="6" t="inlineStr">
        <is>
          <t>MAISON SAINT LO</t>
        </is>
      </c>
      <c r="G680" s="6" t="inlineStr">
        <is>
          <t>NORMAND DIRECT TERROIR</t>
        </is>
      </c>
      <c r="H680" s="6" t="inlineStr"/>
      <c r="I680" s="6" t="inlineStr">
        <is>
          <t>150 g</t>
        </is>
      </c>
      <c r="J680" s="6" t="inlineStr">
        <is>
          <t>NON</t>
        </is>
      </c>
      <c r="K680" s="7" t="inlineStr">
        <is>
          <t>5.5 %</t>
        </is>
      </c>
      <c r="L680" s="8" t="n">
        <v>5.2</v>
      </c>
      <c r="M680" s="9" t="n">
        <v>11.4</v>
      </c>
      <c r="N680" s="10" t="inlineStr">
        <is>
          <t>PROPOSÉ</t>
        </is>
      </c>
      <c r="O680" s="11">
        <f>IF(M680="","",M680-L680)</f>
        <v/>
      </c>
      <c r="P680" s="12">
        <f>IF(OR(M680="",M680=0),"",(M680-L680)/M680)</f>
        <v/>
      </c>
      <c r="Q680" s="13">
        <f>IF(OR(M680="",L680=0,L680=""),"",M680/L680)</f>
        <v/>
      </c>
      <c r="R680" s="11">
        <f>IF(M680="","",M680*1.055)</f>
        <v/>
      </c>
      <c r="S680" s="14" t="n"/>
      <c r="T680" s="15" t="n"/>
    </row>
    <row r="681">
      <c r="A681" s="16" t="inlineStr">
        <is>
          <t>PROD-0160</t>
        </is>
      </c>
      <c r="B681" s="16" t="inlineStr">
        <is>
          <t>Terrine saumon fumé 180 grs</t>
        </is>
      </c>
      <c r="C681" s="16" t="inlineStr">
        <is>
          <t>TRAITEUR_MER</t>
        </is>
      </c>
      <c r="D681" s="16" t="inlineStr">
        <is>
          <t>PRODUIT_DE_LA_MER</t>
        </is>
      </c>
      <c r="E681" s="16" t="inlineStr">
        <is>
          <t>SIGNATURE</t>
        </is>
      </c>
      <c r="F681" s="16" t="inlineStr">
        <is>
          <t>MAISON SAINT LO</t>
        </is>
      </c>
      <c r="G681" s="16" t="inlineStr">
        <is>
          <t>NORMAND DIRECT TERROIR</t>
        </is>
      </c>
      <c r="H681" s="16" t="inlineStr"/>
      <c r="I681" s="16" t="inlineStr">
        <is>
          <t>180 g</t>
        </is>
      </c>
      <c r="J681" s="16" t="inlineStr">
        <is>
          <t>NON</t>
        </is>
      </c>
      <c r="K681" s="17" t="inlineStr">
        <is>
          <t>5.5 %</t>
        </is>
      </c>
      <c r="L681" s="18" t="n">
        <v>5.2</v>
      </c>
      <c r="M681" s="9" t="n">
        <v>11.4</v>
      </c>
      <c r="N681" s="10" t="inlineStr">
        <is>
          <t>PROPOSÉ</t>
        </is>
      </c>
      <c r="O681" s="11">
        <f>IF(M681="","",M681-L681)</f>
        <v/>
      </c>
      <c r="P681" s="12">
        <f>IF(OR(M681="",M681=0),"",(M681-L681)/M681)</f>
        <v/>
      </c>
      <c r="Q681" s="13">
        <f>IF(OR(M681="",L681=0,L681=""),"",M681/L681)</f>
        <v/>
      </c>
      <c r="R681" s="11">
        <f>IF(M681="","",M681*1.055)</f>
        <v/>
      </c>
      <c r="S681" s="14" t="n"/>
      <c r="T681" s="15" t="n"/>
    </row>
    <row r="682">
      <c r="A682" s="6" t="inlineStr">
        <is>
          <t>PROD-0114</t>
        </is>
      </c>
      <c r="B682" s="6" t="inlineStr">
        <is>
          <t>Sauté de porc forestier 400grs</t>
        </is>
      </c>
      <c r="C682" s="6" t="inlineStr">
        <is>
          <t>TRAITEUR_PLATS</t>
        </is>
      </c>
      <c r="D682" s="6" t="inlineStr">
        <is>
          <t>PLAT_CUISINE</t>
        </is>
      </c>
      <c r="E682" s="6" t="inlineStr">
        <is>
          <t>SIGNATURE</t>
        </is>
      </c>
      <c r="F682" s="6" t="inlineStr">
        <is>
          <t>PÈRE ROUPSARD LES MIJOTES</t>
        </is>
      </c>
      <c r="G682" s="6" t="inlineStr">
        <is>
          <t>NORMAND DIRECT TERROIR</t>
        </is>
      </c>
      <c r="H682" s="6" t="inlineStr"/>
      <c r="I682" s="6" t="inlineStr">
        <is>
          <t>400 g</t>
        </is>
      </c>
      <c r="J682" s="6" t="inlineStr">
        <is>
          <t>NON</t>
        </is>
      </c>
      <c r="K682" s="7" t="inlineStr">
        <is>
          <t>5.5 %</t>
        </is>
      </c>
      <c r="L682" s="8" t="n">
        <v>5.42</v>
      </c>
      <c r="M682" s="9" t="n">
        <v>11.9</v>
      </c>
      <c r="N682" s="10" t="inlineStr">
        <is>
          <t>PROPOSÉ</t>
        </is>
      </c>
      <c r="O682" s="11">
        <f>IF(M682="","",M682-L682)</f>
        <v/>
      </c>
      <c r="P682" s="12">
        <f>IF(OR(M682="",M682=0),"",(M682-L682)/M682)</f>
        <v/>
      </c>
      <c r="Q682" s="13">
        <f>IF(OR(M682="",L682=0,L682=""),"",M682/L682)</f>
        <v/>
      </c>
      <c r="R682" s="11">
        <f>IF(M682="","",M682*1.055)</f>
        <v/>
      </c>
      <c r="S682" s="14" t="n"/>
      <c r="T682" s="15" t="n"/>
    </row>
    <row r="683">
      <c r="A683" s="16" t="inlineStr">
        <is>
          <t>PROD-0115</t>
        </is>
      </c>
      <c r="B683" s="16" t="inlineStr">
        <is>
          <t>Boeuf au cidre 400 grs</t>
        </is>
      </c>
      <c r="C683" s="16" t="inlineStr">
        <is>
          <t>TRAITEUR_PLATS</t>
        </is>
      </c>
      <c r="D683" s="16" t="inlineStr">
        <is>
          <t>PLAT_CUISINE</t>
        </is>
      </c>
      <c r="E683" s="16" t="inlineStr">
        <is>
          <t>SIGNATURE</t>
        </is>
      </c>
      <c r="F683" s="16" t="inlineStr">
        <is>
          <t>PÈRE ROUPSARD LES MIJOTES</t>
        </is>
      </c>
      <c r="G683" s="16" t="inlineStr">
        <is>
          <t>NORMAND DIRECT TERROIR</t>
        </is>
      </c>
      <c r="H683" s="16" t="inlineStr"/>
      <c r="I683" s="16" t="inlineStr">
        <is>
          <t>400 g</t>
        </is>
      </c>
      <c r="J683" s="16" t="inlineStr">
        <is>
          <t>INGREDIENT_ALCOOLISE</t>
        </is>
      </c>
      <c r="K683" s="17" t="inlineStr">
        <is>
          <t>5.5 %</t>
        </is>
      </c>
      <c r="L683" s="18" t="n">
        <v>5.42</v>
      </c>
      <c r="M683" s="9" t="n">
        <v>11.9</v>
      </c>
      <c r="N683" s="10" t="inlineStr">
        <is>
          <t>PROPOSÉ</t>
        </is>
      </c>
      <c r="O683" s="11">
        <f>IF(M683="","",M683-L683)</f>
        <v/>
      </c>
      <c r="P683" s="12">
        <f>IF(OR(M683="",M683=0),"",(M683-L683)/M683)</f>
        <v/>
      </c>
      <c r="Q683" s="13">
        <f>IF(OR(M683="",L683=0,L683=""),"",M683/L683)</f>
        <v/>
      </c>
      <c r="R683" s="11">
        <f>IF(M683="","",M683*1.055)</f>
        <v/>
      </c>
      <c r="S683" s="14" t="n"/>
      <c r="T683" s="15" t="n"/>
    </row>
    <row r="684">
      <c r="A684" s="6" t="inlineStr">
        <is>
          <t>PROD-0116</t>
        </is>
      </c>
      <c r="B684" s="6" t="inlineStr">
        <is>
          <t>Blanquette de veau 400 grs</t>
        </is>
      </c>
      <c r="C684" s="6" t="inlineStr">
        <is>
          <t>TRAITEUR_PLATS</t>
        </is>
      </c>
      <c r="D684" s="6" t="inlineStr">
        <is>
          <t>PLAT_CUISINE</t>
        </is>
      </c>
      <c r="E684" s="6" t="inlineStr">
        <is>
          <t>SIGNATURE</t>
        </is>
      </c>
      <c r="F684" s="6" t="inlineStr">
        <is>
          <t>PÈRE ROUPSARD LES MIJOTES</t>
        </is>
      </c>
      <c r="G684" s="6" t="inlineStr">
        <is>
          <t>NORMAND DIRECT TERROIR</t>
        </is>
      </c>
      <c r="H684" s="6" t="inlineStr"/>
      <c r="I684" s="6" t="inlineStr">
        <is>
          <t>400 g</t>
        </is>
      </c>
      <c r="J684" s="6" t="inlineStr">
        <is>
          <t>NON</t>
        </is>
      </c>
      <c r="K684" s="7" t="inlineStr">
        <is>
          <t>5.5 %</t>
        </is>
      </c>
      <c r="L684" s="8" t="n">
        <v>5.42</v>
      </c>
      <c r="M684" s="9" t="n">
        <v>11.9</v>
      </c>
      <c r="N684" s="10" t="inlineStr">
        <is>
          <t>PROPOSÉ</t>
        </is>
      </c>
      <c r="O684" s="11">
        <f>IF(M684="","",M684-L684)</f>
        <v/>
      </c>
      <c r="P684" s="12">
        <f>IF(OR(M684="",M684=0),"",(M684-L684)/M684)</f>
        <v/>
      </c>
      <c r="Q684" s="13">
        <f>IF(OR(M684="",L684=0,L684=""),"",M684/L684)</f>
        <v/>
      </c>
      <c r="R684" s="11">
        <f>IF(M684="","",M684*1.055)</f>
        <v/>
      </c>
      <c r="S684" s="14" t="n"/>
      <c r="T684" s="15" t="n"/>
    </row>
    <row r="685">
      <c r="A685" s="16" t="inlineStr">
        <is>
          <t>PROD-0117</t>
        </is>
      </c>
      <c r="B685" s="16" t="inlineStr">
        <is>
          <t>Veau aux chaloignons des bois 400grs</t>
        </is>
      </c>
      <c r="C685" s="16" t="inlineStr">
        <is>
          <t>TRAITEUR_PLATS</t>
        </is>
      </c>
      <c r="D685" s="16" t="inlineStr">
        <is>
          <t>PLAT_CUISINE</t>
        </is>
      </c>
      <c r="E685" s="16" t="inlineStr">
        <is>
          <t>SIGNATURE</t>
        </is>
      </c>
      <c r="F685" s="16" t="inlineStr">
        <is>
          <t>PÈRE ROUPSARD LES MIJOTES</t>
        </is>
      </c>
      <c r="G685" s="16" t="inlineStr">
        <is>
          <t>NORMAND DIRECT TERROIR</t>
        </is>
      </c>
      <c r="H685" s="16" t="inlineStr"/>
      <c r="I685" s="16" t="inlineStr">
        <is>
          <t>400 g</t>
        </is>
      </c>
      <c r="J685" s="16" t="inlineStr">
        <is>
          <t>NON</t>
        </is>
      </c>
      <c r="K685" s="17" t="inlineStr">
        <is>
          <t>5.5 %</t>
        </is>
      </c>
      <c r="L685" s="18" t="n">
        <v>5.42</v>
      </c>
      <c r="M685" s="9" t="n">
        <v>11.9</v>
      </c>
      <c r="N685" s="10" t="inlineStr">
        <is>
          <t>PROPOSÉ</t>
        </is>
      </c>
      <c r="O685" s="11">
        <f>IF(M685="","",M685-L685)</f>
        <v/>
      </c>
      <c r="P685" s="12">
        <f>IF(OR(M685="",M685=0),"",(M685-L685)/M685)</f>
        <v/>
      </c>
      <c r="Q685" s="13">
        <f>IF(OR(M685="",L685=0,L685=""),"",M685/L685)</f>
        <v/>
      </c>
      <c r="R685" s="11">
        <f>IF(M685="","",M685*1.055)</f>
        <v/>
      </c>
      <c r="S685" s="14" t="n"/>
      <c r="T685" s="15" t="n"/>
    </row>
    <row r="686">
      <c r="A686" s="6" t="inlineStr">
        <is>
          <t>PROD-0118</t>
        </is>
      </c>
      <c r="B686" s="6" t="inlineStr">
        <is>
          <t>Tripes au cidre 400 grs</t>
        </is>
      </c>
      <c r="C686" s="6" t="inlineStr">
        <is>
          <t>TRAITEUR_PLATS</t>
        </is>
      </c>
      <c r="D686" s="6" t="inlineStr">
        <is>
          <t>PLAT_CUISINE</t>
        </is>
      </c>
      <c r="E686" s="6" t="inlineStr">
        <is>
          <t>SIGNATURE</t>
        </is>
      </c>
      <c r="F686" s="6" t="inlineStr">
        <is>
          <t>PÈRE ROUPSARD LES MIJOTES</t>
        </is>
      </c>
      <c r="G686" s="6" t="inlineStr">
        <is>
          <t>NORMAND DIRECT TERROIR</t>
        </is>
      </c>
      <c r="H686" s="6" t="inlineStr"/>
      <c r="I686" s="6" t="inlineStr">
        <is>
          <t>400 g</t>
        </is>
      </c>
      <c r="J686" s="6" t="inlineStr">
        <is>
          <t>INGREDIENT_ALCOOLISE</t>
        </is>
      </c>
      <c r="K686" s="7" t="inlineStr">
        <is>
          <t>5.5 %</t>
        </is>
      </c>
      <c r="L686" s="8" t="n">
        <v>5.42</v>
      </c>
      <c r="M686" s="9" t="n">
        <v>11.9</v>
      </c>
      <c r="N686" s="10" t="inlineStr">
        <is>
          <t>PROPOSÉ</t>
        </is>
      </c>
      <c r="O686" s="11">
        <f>IF(M686="","",M686-L686)</f>
        <v/>
      </c>
      <c r="P686" s="12">
        <f>IF(OR(M686="",M686=0),"",(M686-L686)/M686)</f>
        <v/>
      </c>
      <c r="Q686" s="13">
        <f>IF(OR(M686="",L686=0,L686=""),"",M686/L686)</f>
        <v/>
      </c>
      <c r="R686" s="11">
        <f>IF(M686="","",M686*1.055)</f>
        <v/>
      </c>
      <c r="S686" s="14" t="n"/>
      <c r="T686" s="15" t="n"/>
    </row>
    <row r="687">
      <c r="A687" s="16" t="inlineStr">
        <is>
          <t>PROD-0119</t>
        </is>
      </c>
      <c r="B687" s="16" t="inlineStr">
        <is>
          <t>Poulet valée d'Auge 400 grs</t>
        </is>
      </c>
      <c r="C687" s="16" t="inlineStr">
        <is>
          <t>TRAITEUR_PLATS</t>
        </is>
      </c>
      <c r="D687" s="16" t="inlineStr">
        <is>
          <t>PLAT_CUISINE</t>
        </is>
      </c>
      <c r="E687" s="16" t="inlineStr">
        <is>
          <t>SIGNATURE</t>
        </is>
      </c>
      <c r="F687" s="16" t="inlineStr">
        <is>
          <t>PÈRE ROUPSARD LES MIJOTES</t>
        </is>
      </c>
      <c r="G687" s="16" t="inlineStr">
        <is>
          <t>NORMAND DIRECT TERROIR</t>
        </is>
      </c>
      <c r="H687" s="16" t="inlineStr"/>
      <c r="I687" s="16" t="inlineStr">
        <is>
          <t>400 g</t>
        </is>
      </c>
      <c r="J687" s="16" t="inlineStr">
        <is>
          <t>NON</t>
        </is>
      </c>
      <c r="K687" s="17" t="inlineStr">
        <is>
          <t>5.5 %</t>
        </is>
      </c>
      <c r="L687" s="18" t="n">
        <v>5.42</v>
      </c>
      <c r="M687" s="9" t="n">
        <v>11.9</v>
      </c>
      <c r="N687" s="10" t="inlineStr">
        <is>
          <t>PROPOSÉ</t>
        </is>
      </c>
      <c r="O687" s="11">
        <f>IF(M687="","",M687-L687)</f>
        <v/>
      </c>
      <c r="P687" s="12">
        <f>IF(OR(M687="",M687=0),"",(M687-L687)/M687)</f>
        <v/>
      </c>
      <c r="Q687" s="13">
        <f>IF(OR(M687="",L687=0,L687=""),"",M687/L687)</f>
        <v/>
      </c>
      <c r="R687" s="11">
        <f>IF(M687="","",M687*1.055)</f>
        <v/>
      </c>
      <c r="S687" s="14" t="n"/>
      <c r="T687" s="15" t="n"/>
    </row>
    <row r="688">
      <c r="A688" s="6" t="inlineStr">
        <is>
          <t>PROD-0120</t>
        </is>
      </c>
      <c r="B688" s="6" t="inlineStr">
        <is>
          <t>Sauté de porc au caramel de porc 400 grs</t>
        </is>
      </c>
      <c r="C688" s="6" t="inlineStr">
        <is>
          <t>TRAITEUR_PLATS</t>
        </is>
      </c>
      <c r="D688" s="6" t="inlineStr">
        <is>
          <t>PLAT_CUISINE</t>
        </is>
      </c>
      <c r="E688" s="6" t="inlineStr">
        <is>
          <t>SIGNATURE</t>
        </is>
      </c>
      <c r="F688" s="6" t="inlineStr">
        <is>
          <t>PÈRE ROUPSARD LES MIJOTES</t>
        </is>
      </c>
      <c r="G688" s="6" t="inlineStr">
        <is>
          <t>NORMAND DIRECT TERROIR</t>
        </is>
      </c>
      <c r="H688" s="6" t="inlineStr"/>
      <c r="I688" s="6" t="inlineStr">
        <is>
          <t>400 g</t>
        </is>
      </c>
      <c r="J688" s="6" t="inlineStr">
        <is>
          <t>NON</t>
        </is>
      </c>
      <c r="K688" s="7" t="inlineStr">
        <is>
          <t>5.5 %</t>
        </is>
      </c>
      <c r="L688" s="8" t="n">
        <v>5.42</v>
      </c>
      <c r="M688" s="9" t="n">
        <v>11.9</v>
      </c>
      <c r="N688" s="10" t="inlineStr">
        <is>
          <t>PROPOSÉ</t>
        </is>
      </c>
      <c r="O688" s="11">
        <f>IF(M688="","",M688-L688)</f>
        <v/>
      </c>
      <c r="P688" s="12">
        <f>IF(OR(M688="",M688=0),"",(M688-L688)/M688)</f>
        <v/>
      </c>
      <c r="Q688" s="13">
        <f>IF(OR(M688="",L688=0,L688=""),"",M688/L688)</f>
        <v/>
      </c>
      <c r="R688" s="11">
        <f>IF(M688="","",M688*1.055)</f>
        <v/>
      </c>
      <c r="S688" s="14" t="n"/>
      <c r="T688" s="15" t="n"/>
    </row>
    <row r="689">
      <c r="A689" s="16" t="inlineStr">
        <is>
          <t>PROD-0121</t>
        </is>
      </c>
      <c r="B689" s="16" t="inlineStr">
        <is>
          <t>Chili con carne de porc 400 grs</t>
        </is>
      </c>
      <c r="C689" s="16" t="inlineStr">
        <is>
          <t>TRAITEUR_PLATS</t>
        </is>
      </c>
      <c r="D689" s="16" t="inlineStr">
        <is>
          <t>PLAT_CUISINE</t>
        </is>
      </c>
      <c r="E689" s="16" t="inlineStr">
        <is>
          <t>SIGNATURE</t>
        </is>
      </c>
      <c r="F689" s="16" t="inlineStr">
        <is>
          <t>PÈRE ROUPSARD LES MIJOTES</t>
        </is>
      </c>
      <c r="G689" s="16" t="inlineStr">
        <is>
          <t>NORMAND DIRECT TERROIR</t>
        </is>
      </c>
      <c r="H689" s="16" t="inlineStr"/>
      <c r="I689" s="16" t="inlineStr">
        <is>
          <t>400 g</t>
        </is>
      </c>
      <c r="J689" s="16" t="inlineStr">
        <is>
          <t>NON</t>
        </is>
      </c>
      <c r="K689" s="17" t="inlineStr">
        <is>
          <t>5.5 %</t>
        </is>
      </c>
      <c r="L689" s="18" t="n">
        <v>5.42</v>
      </c>
      <c r="M689" s="9" t="n">
        <v>11.9</v>
      </c>
      <c r="N689" s="10" t="inlineStr">
        <is>
          <t>PROPOSÉ</t>
        </is>
      </c>
      <c r="O689" s="11">
        <f>IF(M689="","",M689-L689)</f>
        <v/>
      </c>
      <c r="P689" s="12">
        <f>IF(OR(M689="",M689=0),"",(M689-L689)/M689)</f>
        <v/>
      </c>
      <c r="Q689" s="13">
        <f>IF(OR(M689="",L689=0,L689=""),"",M689/L689)</f>
        <v/>
      </c>
      <c r="R689" s="11">
        <f>IF(M689="","",M689*1.055)</f>
        <v/>
      </c>
      <c r="S689" s="14" t="n"/>
      <c r="T689" s="15" t="n"/>
    </row>
    <row r="690">
      <c r="A690" s="6" t="inlineStr">
        <is>
          <t>PROD-0122</t>
        </is>
      </c>
      <c r="B690" s="6" t="inlineStr">
        <is>
          <t>Paupiettes de porc forestières 400 grs</t>
        </is>
      </c>
      <c r="C690" s="6" t="inlineStr">
        <is>
          <t>TRAITEUR_PLATS</t>
        </is>
      </c>
      <c r="D690" s="6" t="inlineStr">
        <is>
          <t>PLAT_CUISINE</t>
        </is>
      </c>
      <c r="E690" s="6" t="inlineStr">
        <is>
          <t>SIGNATURE</t>
        </is>
      </c>
      <c r="F690" s="6" t="inlineStr">
        <is>
          <t>PÈRE ROUPSARD LES MIJOTES</t>
        </is>
      </c>
      <c r="G690" s="6" t="inlineStr">
        <is>
          <t>NORMAND DIRECT TERROIR</t>
        </is>
      </c>
      <c r="H690" s="6" t="inlineStr"/>
      <c r="I690" s="6" t="inlineStr">
        <is>
          <t>400 g</t>
        </is>
      </c>
      <c r="J690" s="6" t="inlineStr">
        <is>
          <t>NON</t>
        </is>
      </c>
      <c r="K690" s="7" t="inlineStr">
        <is>
          <t>5.5 %</t>
        </is>
      </c>
      <c r="L690" s="8" t="n">
        <v>5.42</v>
      </c>
      <c r="M690" s="9" t="n">
        <v>11.9</v>
      </c>
      <c r="N690" s="10" t="inlineStr">
        <is>
          <t>PROPOSÉ</t>
        </is>
      </c>
      <c r="O690" s="11">
        <f>IF(M690="","",M690-L690)</f>
        <v/>
      </c>
      <c r="P690" s="12">
        <f>IF(OR(M690="",M690=0),"",(M690-L690)/M690)</f>
        <v/>
      </c>
      <c r="Q690" s="13">
        <f>IF(OR(M690="",L690=0,L690=""),"",M690/L690)</f>
        <v/>
      </c>
      <c r="R690" s="11">
        <f>IF(M690="","",M690*1.055)</f>
        <v/>
      </c>
      <c r="S690" s="14" t="n"/>
      <c r="T690" s="15" t="n"/>
    </row>
    <row r="691">
      <c r="A691" s="16" t="inlineStr">
        <is>
          <t>PROD-0123</t>
        </is>
      </c>
      <c r="B691" s="16" t="inlineStr">
        <is>
          <t>Blanquette de la mer au petits légumes 400 grs</t>
        </is>
      </c>
      <c r="C691" s="16" t="inlineStr">
        <is>
          <t>TRAITEUR_PLATS</t>
        </is>
      </c>
      <c r="D691" s="16" t="inlineStr">
        <is>
          <t>PLAT_CUISINE</t>
        </is>
      </c>
      <c r="E691" s="16" t="inlineStr">
        <is>
          <t>SIGNATURE</t>
        </is>
      </c>
      <c r="F691" s="16" t="inlineStr">
        <is>
          <t>PÈRE ROUPSARD LES MIJOTES</t>
        </is>
      </c>
      <c r="G691" s="16" t="inlineStr">
        <is>
          <t>NORMAND DIRECT TERROIR</t>
        </is>
      </c>
      <c r="H691" s="16" t="inlineStr"/>
      <c r="I691" s="16" t="inlineStr">
        <is>
          <t>400 g</t>
        </is>
      </c>
      <c r="J691" s="16" t="inlineStr">
        <is>
          <t>NON</t>
        </is>
      </c>
      <c r="K691" s="17" t="inlineStr">
        <is>
          <t>5.5 %</t>
        </is>
      </c>
      <c r="L691" s="18" t="n">
        <v>5.42</v>
      </c>
      <c r="M691" s="9" t="n">
        <v>11.9</v>
      </c>
      <c r="N691" s="10" t="inlineStr">
        <is>
          <t>PROPOSÉ</t>
        </is>
      </c>
      <c r="O691" s="11">
        <f>IF(M691="","",M691-L691)</f>
        <v/>
      </c>
      <c r="P691" s="12">
        <f>IF(OR(M691="",M691=0),"",(M691-L691)/M691)</f>
        <v/>
      </c>
      <c r="Q691" s="13">
        <f>IF(OR(M691="",L691=0,L691=""),"",M691/L691)</f>
        <v/>
      </c>
      <c r="R691" s="11">
        <f>IF(M691="","",M691*1.055)</f>
        <v/>
      </c>
      <c r="S691" s="14" t="n"/>
      <c r="T691" s="15" t="n"/>
    </row>
    <row r="692">
      <c r="A692" s="6" t="inlineStr">
        <is>
          <t>PROD-0033</t>
        </is>
      </c>
      <c r="B692" s="6" t="inlineStr">
        <is>
          <t>Teurgoule nature 280 g</t>
        </is>
      </c>
      <c r="C692" s="6" t="inlineStr">
        <is>
          <t>TRAITEUR_SUCRE</t>
        </is>
      </c>
      <c r="D692" s="6" t="inlineStr">
        <is>
          <t>DESSERT</t>
        </is>
      </c>
      <c r="E692" s="6" t="inlineStr">
        <is>
          <t>ESSENTIEL</t>
        </is>
      </c>
      <c r="F692" s="6" t="inlineStr">
        <is>
          <t>FERME DE LA CHOUQUERIE</t>
        </is>
      </c>
      <c r="G692" s="6" t="inlineStr">
        <is>
          <t>NORMAND DIRECT TERROIR</t>
        </is>
      </c>
      <c r="H692" s="6" t="inlineStr"/>
      <c r="I692" s="6" t="inlineStr">
        <is>
          <t>280 g</t>
        </is>
      </c>
      <c r="J692" s="6" t="inlineStr">
        <is>
          <t>NON</t>
        </is>
      </c>
      <c r="K692" s="7" t="inlineStr">
        <is>
          <t>5.5 %</t>
        </is>
      </c>
      <c r="L692" s="8" t="n">
        <v>3.82</v>
      </c>
      <c r="M692" s="9" t="n">
        <v>8.800000000000001</v>
      </c>
      <c r="N692" s="10" t="inlineStr">
        <is>
          <t>PROPOSÉ</t>
        </is>
      </c>
      <c r="O692" s="11">
        <f>IF(M692="","",M692-L692)</f>
        <v/>
      </c>
      <c r="P692" s="12">
        <f>IF(OR(M692="",M692=0),"",(M692-L692)/M692)</f>
        <v/>
      </c>
      <c r="Q692" s="13">
        <f>IF(OR(M692="",L692=0,L692=""),"",M692/L692)</f>
        <v/>
      </c>
      <c r="R692" s="11">
        <f>IF(M692="","",M692*1.055)</f>
        <v/>
      </c>
      <c r="S692" s="14" t="n"/>
      <c r="T692" s="15" t="n"/>
    </row>
    <row r="693">
      <c r="A693" s="16" t="inlineStr">
        <is>
          <t>PROD-0036</t>
        </is>
      </c>
      <c r="B693" s="16" t="inlineStr">
        <is>
          <t>Teurgoule cannelle 280 g</t>
        </is>
      </c>
      <c r="C693" s="16" t="inlineStr">
        <is>
          <t>TRAITEUR_SUCRE</t>
        </is>
      </c>
      <c r="D693" s="16" t="inlineStr">
        <is>
          <t>DESSERT</t>
        </is>
      </c>
      <c r="E693" s="16" t="inlineStr">
        <is>
          <t>ESSENTIEL</t>
        </is>
      </c>
      <c r="F693" s="16" t="inlineStr">
        <is>
          <t>FERME DE LA CHOUQUERIE</t>
        </is>
      </c>
      <c r="G693" s="16" t="inlineStr">
        <is>
          <t>NORMAND DIRECT TERROIR</t>
        </is>
      </c>
      <c r="H693" s="16" t="inlineStr"/>
      <c r="I693" s="16" t="inlineStr">
        <is>
          <t>280 g</t>
        </is>
      </c>
      <c r="J693" s="16" t="inlineStr">
        <is>
          <t>NON</t>
        </is>
      </c>
      <c r="K693" s="17" t="inlineStr">
        <is>
          <t>5.5 %</t>
        </is>
      </c>
      <c r="L693" s="18" t="n">
        <v>3.82</v>
      </c>
      <c r="M693" s="9" t="n">
        <v>8.800000000000001</v>
      </c>
      <c r="N693" s="10" t="inlineStr">
        <is>
          <t>PROPOSÉ</t>
        </is>
      </c>
      <c r="O693" s="11">
        <f>IF(M693="","",M693-L693)</f>
        <v/>
      </c>
      <c r="P693" s="12">
        <f>IF(OR(M693="",M693=0),"",(M693-L693)/M693)</f>
        <v/>
      </c>
      <c r="Q693" s="13">
        <f>IF(OR(M693="",L693=0,L693=""),"",M693/L693)</f>
        <v/>
      </c>
      <c r="R693" s="11">
        <f>IF(M693="","",M693*1.055)</f>
        <v/>
      </c>
      <c r="S693" s="14" t="n"/>
      <c r="T693" s="15" t="n"/>
    </row>
    <row r="694">
      <c r="A694" s="6" t="inlineStr">
        <is>
          <t>PROD-0066</t>
        </is>
      </c>
      <c r="B694" s="6" t="inlineStr">
        <is>
          <t>Riz au lait de Normandie 180 gr</t>
        </is>
      </c>
      <c r="C694" s="6" t="inlineStr">
        <is>
          <t>TRAITEUR_SUCRE</t>
        </is>
      </c>
      <c r="D694" s="6" t="inlineStr">
        <is>
          <t>DESSERT</t>
        </is>
      </c>
      <c r="E694" s="6" t="inlineStr">
        <is>
          <t>ESSENTIEL</t>
        </is>
      </c>
      <c r="F694" s="6" t="inlineStr">
        <is>
          <t>LE PÈRE ROUPSARD DESSERT</t>
        </is>
      </c>
      <c r="G694" s="6" t="inlineStr">
        <is>
          <t>NORMAND DIRECT TERROIR</t>
        </is>
      </c>
      <c r="H694" s="6" t="inlineStr"/>
      <c r="I694" s="6" t="inlineStr">
        <is>
          <t>180 g</t>
        </is>
      </c>
      <c r="J694" s="6" t="inlineStr">
        <is>
          <t>NON</t>
        </is>
      </c>
      <c r="K694" s="7" t="inlineStr">
        <is>
          <t>5.5 %</t>
        </is>
      </c>
      <c r="L694" s="8" t="n">
        <v>2.25</v>
      </c>
      <c r="M694" s="9" t="n">
        <v>5.7</v>
      </c>
      <c r="N694" s="10" t="inlineStr">
        <is>
          <t>PROPOSÉ</t>
        </is>
      </c>
      <c r="O694" s="11">
        <f>IF(M694="","",M694-L694)</f>
        <v/>
      </c>
      <c r="P694" s="12">
        <f>IF(OR(M694="",M694=0),"",(M694-L694)/M694)</f>
        <v/>
      </c>
      <c r="Q694" s="13">
        <f>IF(OR(M694="",L694=0,L694=""),"",M694/L694)</f>
        <v/>
      </c>
      <c r="R694" s="11">
        <f>IF(M694="","",M694*1.055)</f>
        <v/>
      </c>
      <c r="S694" s="14" t="n"/>
      <c r="T694" s="15" t="n"/>
    </row>
    <row r="695">
      <c r="A695" s="16" t="inlineStr">
        <is>
          <t>PROD-0067</t>
        </is>
      </c>
      <c r="B695" s="16" t="inlineStr">
        <is>
          <t>Riz au lait de Normandie Eclats caramel d'Isigny 180 gr</t>
        </is>
      </c>
      <c r="C695" s="16" t="inlineStr">
        <is>
          <t>TRAITEUR_SUCRE</t>
        </is>
      </c>
      <c r="D695" s="16" t="inlineStr">
        <is>
          <t>DESSERT</t>
        </is>
      </c>
      <c r="E695" s="16" t="inlineStr">
        <is>
          <t>ESSENTIEL</t>
        </is>
      </c>
      <c r="F695" s="16" t="inlineStr">
        <is>
          <t>LE PÈRE ROUPSARD DESSERT</t>
        </is>
      </c>
      <c r="G695" s="16" t="inlineStr">
        <is>
          <t>NORMAND DIRECT TERROIR</t>
        </is>
      </c>
      <c r="H695" s="16" t="inlineStr"/>
      <c r="I695" s="16" t="inlineStr">
        <is>
          <t>180 g</t>
        </is>
      </c>
      <c r="J695" s="16" t="inlineStr">
        <is>
          <t>NON</t>
        </is>
      </c>
      <c r="K695" s="17" t="inlineStr">
        <is>
          <t>5.5 %</t>
        </is>
      </c>
      <c r="L695" s="18" t="n">
        <v>2.25</v>
      </c>
      <c r="M695" s="9" t="n">
        <v>5.7</v>
      </c>
      <c r="N695" s="10" t="inlineStr">
        <is>
          <t>PROPOSÉ</t>
        </is>
      </c>
      <c r="O695" s="11">
        <f>IF(M695="","",M695-L695)</f>
        <v/>
      </c>
      <c r="P695" s="12">
        <f>IF(OR(M695="",M695=0),"",(M695-L695)/M695)</f>
        <v/>
      </c>
      <c r="Q695" s="13">
        <f>IF(OR(M695="",L695=0,L695=""),"",M695/L695)</f>
        <v/>
      </c>
      <c r="R695" s="11">
        <f>IF(M695="","",M695*1.055)</f>
        <v/>
      </c>
      <c r="S695" s="14" t="n"/>
      <c r="T695" s="15" t="n"/>
    </row>
    <row r="696">
      <c r="A696" s="6" t="inlineStr">
        <is>
          <t>PROD-0070</t>
        </is>
      </c>
      <c r="B696" s="6" t="inlineStr">
        <is>
          <t>Crème aux œufs à la crème d'Isigny 180 gr</t>
        </is>
      </c>
      <c r="C696" s="6" t="inlineStr">
        <is>
          <t>TRAITEUR_SUCRE</t>
        </is>
      </c>
      <c r="D696" s="6" t="inlineStr">
        <is>
          <t>DESSERT</t>
        </is>
      </c>
      <c r="E696" s="6" t="inlineStr">
        <is>
          <t>ESSENTIEL</t>
        </is>
      </c>
      <c r="F696" s="6" t="inlineStr">
        <is>
          <t>LE PÈRE ROUPSARD DESSERT</t>
        </is>
      </c>
      <c r="G696" s="6" t="inlineStr">
        <is>
          <t>NORMAND DIRECT TERROIR</t>
        </is>
      </c>
      <c r="H696" s="6" t="inlineStr"/>
      <c r="I696" s="6" t="inlineStr">
        <is>
          <t>180 g</t>
        </is>
      </c>
      <c r="J696" s="6" t="inlineStr">
        <is>
          <t>NON</t>
        </is>
      </c>
      <c r="K696" s="7" t="inlineStr">
        <is>
          <t>5.5 %</t>
        </is>
      </c>
      <c r="L696" s="8" t="n">
        <v>2.25</v>
      </c>
      <c r="M696" s="9" t="n">
        <v>5.7</v>
      </c>
      <c r="N696" s="10" t="inlineStr">
        <is>
          <t>PROPOSÉ</t>
        </is>
      </c>
      <c r="O696" s="11">
        <f>IF(M696="","",M696-L696)</f>
        <v/>
      </c>
      <c r="P696" s="12">
        <f>IF(OR(M696="",M696=0),"",(M696-L696)/M696)</f>
        <v/>
      </c>
      <c r="Q696" s="13">
        <f>IF(OR(M696="",L696=0,L696=""),"",M696/L696)</f>
        <v/>
      </c>
      <c r="R696" s="11">
        <f>IF(M696="","",M696*1.055)</f>
        <v/>
      </c>
      <c r="S696" s="14" t="n"/>
      <c r="T696" s="15" t="n"/>
    </row>
    <row r="697">
      <c r="A697" s="16" t="inlineStr">
        <is>
          <t>PROD-0068</t>
        </is>
      </c>
      <c r="B697" s="16" t="inlineStr">
        <is>
          <t>Riz au lait de Normandie 120 gr</t>
        </is>
      </c>
      <c r="C697" s="16" t="inlineStr">
        <is>
          <t>TRAITEUR_SUCRE</t>
        </is>
      </c>
      <c r="D697" s="16" t="inlineStr">
        <is>
          <t>DESSERT</t>
        </is>
      </c>
      <c r="E697" s="16" t="inlineStr">
        <is>
          <t>ESSENTIEL</t>
        </is>
      </c>
      <c r="F697" s="16" t="inlineStr">
        <is>
          <t>LE PÈRE ROUPSARD DESSERT</t>
        </is>
      </c>
      <c r="G697" s="16" t="inlineStr">
        <is>
          <t>NORMAND DIRECT TERROIR</t>
        </is>
      </c>
      <c r="H697" s="16" t="inlineStr"/>
      <c r="I697" s="16" t="inlineStr">
        <is>
          <t>120 g</t>
        </is>
      </c>
      <c r="J697" s="16" t="inlineStr">
        <is>
          <t>NON</t>
        </is>
      </c>
      <c r="K697" s="17" t="inlineStr">
        <is>
          <t>5.5 %</t>
        </is>
      </c>
      <c r="L697" s="18" t="n">
        <v>1.77</v>
      </c>
      <c r="M697" s="9" t="n">
        <v>4.5</v>
      </c>
      <c r="N697" s="10" t="inlineStr">
        <is>
          <t>PROPOSÉ</t>
        </is>
      </c>
      <c r="O697" s="11">
        <f>IF(M697="","",M697-L697)</f>
        <v/>
      </c>
      <c r="P697" s="12">
        <f>IF(OR(M697="",M697=0),"",(M697-L697)/M697)</f>
        <v/>
      </c>
      <c r="Q697" s="13">
        <f>IF(OR(M697="",L697=0,L697=""),"",M697/L697)</f>
        <v/>
      </c>
      <c r="R697" s="11">
        <f>IF(M697="","",M697*1.055)</f>
        <v/>
      </c>
      <c r="S697" s="14" t="n"/>
      <c r="T697" s="15" t="n"/>
    </row>
    <row r="698">
      <c r="A698" s="6" t="inlineStr">
        <is>
          <t>PROD-0069</t>
        </is>
      </c>
      <c r="B698" s="6" t="inlineStr">
        <is>
          <t>Riz au lait de Normandie Eclats caramel d'Isigny 120 gr</t>
        </is>
      </c>
      <c r="C698" s="6" t="inlineStr">
        <is>
          <t>TRAITEUR_SUCRE</t>
        </is>
      </c>
      <c r="D698" s="6" t="inlineStr">
        <is>
          <t>DESSERT</t>
        </is>
      </c>
      <c r="E698" s="6" t="inlineStr">
        <is>
          <t>ESSENTIEL</t>
        </is>
      </c>
      <c r="F698" s="6" t="inlineStr">
        <is>
          <t>LE PÈRE ROUPSARD DESSERT</t>
        </is>
      </c>
      <c r="G698" s="6" t="inlineStr">
        <is>
          <t>NORMAND DIRECT TERROIR</t>
        </is>
      </c>
      <c r="H698" s="6" t="inlineStr"/>
      <c r="I698" s="6" t="inlineStr">
        <is>
          <t>120 g</t>
        </is>
      </c>
      <c r="J698" s="6" t="inlineStr">
        <is>
          <t>NON</t>
        </is>
      </c>
      <c r="K698" s="7" t="inlineStr">
        <is>
          <t>5.5 %</t>
        </is>
      </c>
      <c r="L698" s="8" t="n">
        <v>1.77</v>
      </c>
      <c r="M698" s="9" t="n">
        <v>4.5</v>
      </c>
      <c r="N698" s="10" t="inlineStr">
        <is>
          <t>PROPOSÉ</t>
        </is>
      </c>
      <c r="O698" s="11">
        <f>IF(M698="","",M698-L698)</f>
        <v/>
      </c>
      <c r="P698" s="12">
        <f>IF(OR(M698="",M698=0),"",(M698-L698)/M698)</f>
        <v/>
      </c>
      <c r="Q698" s="13">
        <f>IF(OR(M698="",L698=0,L698=""),"",M698/L698)</f>
        <v/>
      </c>
      <c r="R698" s="11">
        <f>IF(M698="","",M698*1.055)</f>
        <v/>
      </c>
      <c r="S698" s="14" t="n"/>
      <c r="T698" s="15" t="n"/>
    </row>
    <row r="699">
      <c r="A699" s="16" t="inlineStr">
        <is>
          <t>PROD-0072</t>
        </is>
      </c>
      <c r="B699" s="16" t="inlineStr">
        <is>
          <t>Crème aux œufs à la crème d'Isigny 120 gr</t>
        </is>
      </c>
      <c r="C699" s="16" t="inlineStr">
        <is>
          <t>TRAITEUR_SUCRE</t>
        </is>
      </c>
      <c r="D699" s="16" t="inlineStr">
        <is>
          <t>DESSERT</t>
        </is>
      </c>
      <c r="E699" s="16" t="inlineStr">
        <is>
          <t>ESSENTIEL</t>
        </is>
      </c>
      <c r="F699" s="16" t="inlineStr">
        <is>
          <t>LE PÈRE ROUPSARD DESSERT</t>
        </is>
      </c>
      <c r="G699" s="16" t="inlineStr">
        <is>
          <t>NORMAND DIRECT TERROIR</t>
        </is>
      </c>
      <c r="H699" s="16" t="inlineStr"/>
      <c r="I699" s="16" t="inlineStr">
        <is>
          <t>120 g</t>
        </is>
      </c>
      <c r="J699" s="16" t="inlineStr">
        <is>
          <t>NON</t>
        </is>
      </c>
      <c r="K699" s="17" t="inlineStr">
        <is>
          <t>5.5 %</t>
        </is>
      </c>
      <c r="L699" s="18" t="n">
        <v>1.77</v>
      </c>
      <c r="M699" s="9" t="n">
        <v>4.5</v>
      </c>
      <c r="N699" s="10" t="inlineStr">
        <is>
          <t>PROPOSÉ</t>
        </is>
      </c>
      <c r="O699" s="11">
        <f>IF(M699="","",M699-L699)</f>
        <v/>
      </c>
      <c r="P699" s="12">
        <f>IF(OR(M699="",M699=0),"",(M699-L699)/M699)</f>
        <v/>
      </c>
      <c r="Q699" s="13">
        <f>IF(OR(M699="",L699=0,L699=""),"",M699/L699)</f>
        <v/>
      </c>
      <c r="R699" s="11">
        <f>IF(M699="","",M699*1.055)</f>
        <v/>
      </c>
      <c r="S699" s="14" t="n"/>
      <c r="T699" s="15" t="n"/>
    </row>
    <row r="700">
      <c r="A700" s="6" t="inlineStr">
        <is>
          <t>PROD-0035</t>
        </is>
      </c>
      <c r="B700" s="6" t="inlineStr">
        <is>
          <t>Teurgoule nature 740 g</t>
        </is>
      </c>
      <c r="C700" s="6" t="inlineStr">
        <is>
          <t>TRAITEUR_SUCRE</t>
        </is>
      </c>
      <c r="D700" s="6" t="inlineStr">
        <is>
          <t>DESSERT</t>
        </is>
      </c>
      <c r="E700" s="6" t="inlineStr">
        <is>
          <t>SIGNATURE</t>
        </is>
      </c>
      <c r="F700" s="6" t="inlineStr">
        <is>
          <t>FERME DE LA CHOUQUERIE</t>
        </is>
      </c>
      <c r="G700" s="6" t="inlineStr">
        <is>
          <t>NORMAND DIRECT TERROIR</t>
        </is>
      </c>
      <c r="H700" s="6" t="inlineStr"/>
      <c r="I700" s="6" t="inlineStr">
        <is>
          <t>740 g</t>
        </is>
      </c>
      <c r="J700" s="6" t="inlineStr">
        <is>
          <t>NON</t>
        </is>
      </c>
      <c r="K700" s="7" t="inlineStr">
        <is>
          <t>5.5 %</t>
        </is>
      </c>
      <c r="L700" s="8" t="n">
        <v>8.5</v>
      </c>
      <c r="M700" s="9" t="n">
        <v>18</v>
      </c>
      <c r="N700" s="10" t="inlineStr">
        <is>
          <t>PROPOSÉ</t>
        </is>
      </c>
      <c r="O700" s="11">
        <f>IF(M700="","",M700-L700)</f>
        <v/>
      </c>
      <c r="P700" s="12">
        <f>IF(OR(M700="",M700=0),"",(M700-L700)/M700)</f>
        <v/>
      </c>
      <c r="Q700" s="13">
        <f>IF(OR(M700="",L700=0,L700=""),"",M700/L700)</f>
        <v/>
      </c>
      <c r="R700" s="11">
        <f>IF(M700="","",M700*1.055)</f>
        <v/>
      </c>
      <c r="S700" s="14" t="n"/>
      <c r="T700" s="15" t="n"/>
    </row>
    <row r="701">
      <c r="A701" s="16" t="inlineStr">
        <is>
          <t>PROD-0038</t>
        </is>
      </c>
      <c r="B701" s="16" t="inlineStr">
        <is>
          <t>Teurgoule cannelle 740 g</t>
        </is>
      </c>
      <c r="C701" s="16" t="inlineStr">
        <is>
          <t>TRAITEUR_SUCRE</t>
        </is>
      </c>
      <c r="D701" s="16" t="inlineStr">
        <is>
          <t>DESSERT</t>
        </is>
      </c>
      <c r="E701" s="16" t="inlineStr">
        <is>
          <t>SIGNATURE</t>
        </is>
      </c>
      <c r="F701" s="16" t="inlineStr">
        <is>
          <t>FERME DE LA CHOUQUERIE</t>
        </is>
      </c>
      <c r="G701" s="16" t="inlineStr">
        <is>
          <t>NORMAND DIRECT TERROIR</t>
        </is>
      </c>
      <c r="H701" s="16" t="inlineStr"/>
      <c r="I701" s="16" t="inlineStr">
        <is>
          <t>740 g</t>
        </is>
      </c>
      <c r="J701" s="16" t="inlineStr">
        <is>
          <t>NON</t>
        </is>
      </c>
      <c r="K701" s="17" t="inlineStr">
        <is>
          <t>5.5 %</t>
        </is>
      </c>
      <c r="L701" s="18" t="n">
        <v>8.5</v>
      </c>
      <c r="M701" s="9" t="n">
        <v>18</v>
      </c>
      <c r="N701" s="10" t="inlineStr">
        <is>
          <t>PROPOSÉ</t>
        </is>
      </c>
      <c r="O701" s="11">
        <f>IF(M701="","",M701-L701)</f>
        <v/>
      </c>
      <c r="P701" s="12">
        <f>IF(OR(M701="",M701=0),"",(M701-L701)/M701)</f>
        <v/>
      </c>
      <c r="Q701" s="13">
        <f>IF(OR(M701="",L701=0,L701=""),"",M701/L701)</f>
        <v/>
      </c>
      <c r="R701" s="11">
        <f>IF(M701="","",M701*1.055)</f>
        <v/>
      </c>
      <c r="S701" s="14" t="n"/>
      <c r="T701" s="15" t="n"/>
    </row>
    <row r="702">
      <c r="A702" s="6" t="inlineStr">
        <is>
          <t>PROD-0034</t>
        </is>
      </c>
      <c r="B702" s="6" t="inlineStr">
        <is>
          <t>Teurgoule nature 500 g</t>
        </is>
      </c>
      <c r="C702" s="6" t="inlineStr">
        <is>
          <t>TRAITEUR_SUCRE</t>
        </is>
      </c>
      <c r="D702" s="6" t="inlineStr">
        <is>
          <t>DESSERT</t>
        </is>
      </c>
      <c r="E702" s="6" t="inlineStr">
        <is>
          <t>SIGNATURE</t>
        </is>
      </c>
      <c r="F702" s="6" t="inlineStr">
        <is>
          <t>FERME DE LA CHOUQUERIE</t>
        </is>
      </c>
      <c r="G702" s="6" t="inlineStr">
        <is>
          <t>NORMAND DIRECT TERROIR</t>
        </is>
      </c>
      <c r="H702" s="6" t="inlineStr"/>
      <c r="I702" s="6" t="inlineStr">
        <is>
          <t>500 g</t>
        </is>
      </c>
      <c r="J702" s="6" t="inlineStr">
        <is>
          <t>NON</t>
        </is>
      </c>
      <c r="K702" s="7" t="inlineStr">
        <is>
          <t>5.5 %</t>
        </is>
      </c>
      <c r="L702" s="8" t="n">
        <v>6.34</v>
      </c>
      <c r="M702" s="9" t="n">
        <v>14.6</v>
      </c>
      <c r="N702" s="10" t="inlineStr">
        <is>
          <t>PROPOSÉ</t>
        </is>
      </c>
      <c r="O702" s="11">
        <f>IF(M702="","",M702-L702)</f>
        <v/>
      </c>
      <c r="P702" s="12">
        <f>IF(OR(M702="",M702=0),"",(M702-L702)/M702)</f>
        <v/>
      </c>
      <c r="Q702" s="13">
        <f>IF(OR(M702="",L702=0,L702=""),"",M702/L702)</f>
        <v/>
      </c>
      <c r="R702" s="11">
        <f>IF(M702="","",M702*1.055)</f>
        <v/>
      </c>
      <c r="S702" s="14" t="n"/>
      <c r="T702" s="15" t="n"/>
    </row>
    <row r="703">
      <c r="A703" s="16" t="inlineStr">
        <is>
          <t>PROD-0037</t>
        </is>
      </c>
      <c r="B703" s="16" t="inlineStr">
        <is>
          <t>Teurgoule cannelle 500 g</t>
        </is>
      </c>
      <c r="C703" s="16" t="inlineStr">
        <is>
          <t>TRAITEUR_SUCRE</t>
        </is>
      </c>
      <c r="D703" s="16" t="inlineStr">
        <is>
          <t>DESSERT</t>
        </is>
      </c>
      <c r="E703" s="16" t="inlineStr">
        <is>
          <t>SIGNATURE</t>
        </is>
      </c>
      <c r="F703" s="16" t="inlineStr">
        <is>
          <t>FERME DE LA CHOUQUERIE</t>
        </is>
      </c>
      <c r="G703" s="16" t="inlineStr">
        <is>
          <t>NORMAND DIRECT TERROIR</t>
        </is>
      </c>
      <c r="H703" s="16" t="inlineStr"/>
      <c r="I703" s="16" t="inlineStr">
        <is>
          <t>500 g</t>
        </is>
      </c>
      <c r="J703" s="16" t="inlineStr">
        <is>
          <t>NON</t>
        </is>
      </c>
      <c r="K703" s="17" t="inlineStr">
        <is>
          <t>5.5 %</t>
        </is>
      </c>
      <c r="L703" s="18" t="n">
        <v>6.34</v>
      </c>
      <c r="M703" s="9" t="n">
        <v>14.6</v>
      </c>
      <c r="N703" s="10" t="inlineStr">
        <is>
          <t>PROPOSÉ</t>
        </is>
      </c>
      <c r="O703" s="11">
        <f>IF(M703="","",M703-L703)</f>
        <v/>
      </c>
      <c r="P703" s="12">
        <f>IF(OR(M703="",M703=0),"",(M703-L703)/M703)</f>
        <v/>
      </c>
      <c r="Q703" s="13">
        <f>IF(OR(M703="",L703=0,L703=""),"",M703/L703)</f>
        <v/>
      </c>
      <c r="R703" s="11">
        <f>IF(M703="","",M703*1.055)</f>
        <v/>
      </c>
      <c r="S703" s="14" t="n"/>
      <c r="T703" s="15" t="n"/>
    </row>
  </sheetData>
  <autoFilter ref="A1:T703"/>
  <conditionalFormatting sqref="P2:P703">
    <cfRule type="cellIs" priority="1" operator="lessThan" dxfId="0">
      <formula>0.3</formula>
    </cfRule>
    <cfRule type="cellIs" priority="2" operator="between" dxfId="1">
      <formula>0.3</formula>
      <formula>0.4</formula>
    </cfRule>
    <cfRule type="cellIs" priority="3" operator="greaterThan" dxfId="2">
      <formula>0.4</formula>
    </cfRule>
  </conditionalFormatting>
  <conditionalFormatting sqref="M2:M703">
    <cfRule type="expression" priority="4" dxfId="0">
      <formula>AND(M2&lt;&gt;"",M2&lt;=L2)</formula>
    </cfRule>
  </conditionalFormatting>
  <dataValidations count="3">
    <dataValidation sqref="N2:N703" showDropDown="0" showInputMessage="0" showErrorMessage="0" allowBlank="1" promptTitle="Statut du prix" prompt="PROPOSÉ = prix calculé par coefficient, à relire. VALIDÉ = vous le confirmez." type="list">
      <formula1>"PROPOSÉ,VALIDÉ,À REVOIR"</formula1>
    </dataValidation>
    <dataValidation sqref="S2:S703" showDropDown="0" showInputMessage="0" showErrorMessage="0" allowBlank="1" promptTitle="Catalogue de saison" prompt="OUI si le produit est retenu pour la saison en cours." type="list">
      <formula1>"OUI,NON"</formula1>
    </dataValidation>
    <dataValidation sqref="M2:M703" showDropDown="0" showInputMessage="0" showErrorMessage="1" allowBlank="1" errorTitle="Prix invalide" error="Saisissez un montant en euros HT, supérieur à 0."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25"/>
  <sheetViews>
    <sheetView showGridLines="0" workbookViewId="0">
      <selection activeCell="A1" sqref="A1"/>
    </sheetView>
  </sheetViews>
  <sheetFormatPr baseColWidth="8" defaultRowHeight="15"/>
  <cols>
    <col width="3" customWidth="1" min="1" max="1"/>
    <col width="40" customWidth="1" min="2" max="2"/>
    <col width="16" customWidth="1" min="3" max="3"/>
    <col width="16" customWidth="1" min="4" max="4"/>
    <col width="18" customWidth="1" min="5" max="5"/>
  </cols>
  <sheetData>
    <row r="1" ht="26" customHeight="1">
      <c r="B1" s="21" t="inlineStr">
        <is>
          <t>Où en est la saisie</t>
        </is>
      </c>
    </row>
    <row r="3">
      <c r="B3" s="22" t="inlineStr">
        <is>
          <t>Produits au total</t>
        </is>
      </c>
      <c r="C3" s="23">
        <f>COUNTA('Prix de vente'!A2:A703)</f>
        <v/>
      </c>
    </row>
    <row r="4">
      <c r="B4" s="22" t="inlineStr">
        <is>
          <t>Prix renseignés (proposés ou validés)</t>
        </is>
      </c>
      <c r="C4" s="23">
        <f>COUNT('Prix de vente'!M2:M703)</f>
        <v/>
      </c>
    </row>
    <row r="5">
      <c r="B5" s="22" t="inlineStr">
        <is>
          <t>Reste à saisir</t>
        </is>
      </c>
      <c r="C5" s="23">
        <f>C3-C4</f>
        <v/>
      </c>
    </row>
    <row r="6">
      <c r="B6" s="22" t="inlineStr">
        <is>
          <t>Avancement</t>
        </is>
      </c>
      <c r="C6" s="24">
        <f>IF(C3=0,0,C4/C3)</f>
        <v/>
      </c>
    </row>
    <row r="7">
      <c r="B7" s="22" t="inlineStr">
        <is>
          <t>Prix VALIDÉS par vous</t>
        </is>
      </c>
      <c r="C7" s="23">
        <f>COUNTIF('Prix de vente'!N2:N703,"VALIDÉ")</f>
        <v/>
      </c>
    </row>
    <row r="8">
      <c r="B8" s="22" t="inlineStr">
        <is>
          <t>Retenus au catalogue de saison</t>
        </is>
      </c>
      <c r="C8" s="23">
        <f>COUNTIF('Prix de vente'!S2:S703,"OUI")</f>
        <v/>
      </c>
    </row>
    <row r="9">
      <c r="B9" s="22" t="inlineStr">
        <is>
          <t xml:space="preserve">  dont prix saisi</t>
        </is>
      </c>
      <c r="C9" s="23">
        <f>COUNTIFS('Prix de vente'!S2:S703,"OUI",'Prix de vente'!M2:M703,"&gt;0")</f>
        <v/>
      </c>
    </row>
    <row r="10">
      <c r="B10" s="22" t="inlineStr">
        <is>
          <t xml:space="preserve">  reste à saisir sur la saison</t>
        </is>
      </c>
      <c r="C10" s="23">
        <f>C8-C9</f>
        <v/>
      </c>
    </row>
    <row r="12" ht="26" customHeight="1">
      <c r="B12" s="21" t="inlineStr">
        <is>
          <t>Contrôles</t>
        </is>
      </c>
    </row>
    <row r="14">
      <c r="B14" s="22" t="inlineStr">
        <is>
          <t>Prix de vente ≤ prix d'achat</t>
        </is>
      </c>
      <c r="C14" s="23">
        <f>SUMPRODUCT(--('Prix de vente'!M2:M703&lt;&gt;""),--('Prix de vente'!M2:M703&lt;='Prix de vente'!L2:L703))</f>
        <v/>
      </c>
    </row>
    <row r="15">
      <c r="B15" s="22" t="inlineStr">
        <is>
          <t>Taux de marge sous 30 %</t>
        </is>
      </c>
      <c r="C15" s="23">
        <f>SUMPRODUCT(--('Prix de vente'!M2:M703&gt;0),--('Prix de vente'!P2:P703&lt;0.3))</f>
        <v/>
      </c>
    </row>
    <row r="16">
      <c r="B16" s="22" t="inlineStr">
        <is>
          <t>TVA à confirmer</t>
        </is>
      </c>
      <c r="C16" s="23">
        <f>COUNTIF('Prix de vente'!K2:K703,"À CONFIRMER")</f>
        <v/>
      </c>
    </row>
    <row r="17">
      <c r="B17" s="22" t="inlineStr">
        <is>
          <t xml:space="preserve">  dont déjà retenus en saison</t>
        </is>
      </c>
      <c r="C17" s="23">
        <f>COUNTIFS('Prix de vente'!K2:K703,"À CONFIRMER",'Prix de vente'!S2:S703,"OUI")</f>
        <v/>
      </c>
    </row>
    <row r="19" ht="26" customHeight="1">
      <c r="B19" s="21" t="inlineStr">
        <is>
          <t>Marge moyenne sur ce qui est saisi</t>
        </is>
      </c>
    </row>
    <row r="21">
      <c r="B21" s="22" t="inlineStr">
        <is>
          <t>Taux de marge moyen</t>
        </is>
      </c>
      <c r="C21" s="24">
        <f>IFERROR(AVERAGEIF('Prix de vente'!M2:M703,"&gt;0",'Prix de vente'!P2:P703),"—")</f>
        <v/>
      </c>
    </row>
    <row r="22">
      <c r="B22" s="22" t="inlineStr">
        <is>
          <t>Coefficient moyen</t>
        </is>
      </c>
      <c r="C22" s="25">
        <f>IFERROR(AVERAGEIF('Prix de vente'!M2:M703,"&gt;0",'Prix de vente'!Q2:Q703),"—")</f>
        <v/>
      </c>
    </row>
    <row r="24">
      <c r="B24" s="26" t="inlineStr">
        <is>
          <t>Ces contrôles se mettent à jour tout seuls pendant la saisie. Une valeur non nulle sur les deux premiers demande une vérification.</t>
        </is>
      </c>
    </row>
    <row r="25"/>
  </sheetData>
  <mergeCells count="1">
    <mergeCell ref="B24: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2026-09-01T15:25:09Z</dcterms:created>
  <dcterms:modified xsi:type="dcterms:W3CDTF">2026-09-01T15:25:10Z</dcterms:modified>
</cp:coreProperties>
</file>